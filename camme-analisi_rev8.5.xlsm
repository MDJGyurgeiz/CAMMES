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queryTables/queryTable19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4.xml" ContentType="application/vnd.openxmlformats-officedocument.drawingml.chart+xml"/>
  <Override PartName="/customXml/itemProps1.xml" ContentType="application/vnd.openxmlformats-officedocument.customXmlProperties+xml"/>
  <Override PartName="/xl/queryTables/queryTable17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activeX/activeX3.xml" ContentType="application/vnd.ms-office.activeX+xml"/>
  <Override PartName="/xl/queryTables/queryTable1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drawings/drawing2.xml" ContentType="application/vnd.openxmlformats-officedocument.drawingml.chartshapes+xml"/>
  <Override PartName="/xl/connections.xml" ContentType="application/vnd.openxmlformats-officedocument.spreadsheetml.connections+xml"/>
  <Override PartName="/xl/activeX/activeX1.xml" ContentType="application/vnd.ms-office.activeX+xml"/>
  <Override PartName="/xl/queryTables/queryTable13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0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queryTables/queryTable2.xml" ContentType="application/vnd.openxmlformats-officedocument.spreadsheetml.queryTable+xml"/>
  <Override PartName="/xl/queryTables/queryTable49.xml" ContentType="application/vnd.openxmlformats-officedocument.spreadsheetml.queryTable+xml"/>
  <Override PartName="/xl/activeX/activeX1.bin" ContentType="application/vnd.ms-office.activeX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5.xml" ContentType="application/vnd.openxmlformats-officedocument.drawingml.chart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.xml" ContentType="application/vnd.openxmlformats-officedocument.drawingml.chart+xml"/>
  <Default Extension="jpeg" ContentType="image/jpeg"/>
  <Default Extension="emf" ContentType="image/x-emf"/>
  <Override PartName="/xl/workbook.xml" ContentType="application/vnd.ms-excel.sheet.macroEnabled.main+xml"/>
  <Override PartName="/xl/activeX/activeX2.xml" ContentType="application/vnd.ms-office.activeX+xml"/>
  <Override PartName="/xl/activeX/activeX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50.xml" ContentType="application/vnd.openxmlformats-officedocument.spreadsheetml.queryTable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30.xml" ContentType="application/vnd.openxmlformats-officedocument.spreadsheetml.queryTable+xml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Questa_cartella_di_lavoro"/>
  <bookViews>
    <workbookView xWindow="-120" yWindow="-120" windowWidth="24240" windowHeight="15840"/>
  </bookViews>
  <sheets>
    <sheet name="Data" sheetId="1" r:id="rId1"/>
  </sheets>
  <definedNames>
    <definedName name="DatiEsterni_10" localSheetId="0">Data!#REF!</definedName>
    <definedName name="DatiEsterni_12" localSheetId="0">Data!#REF!</definedName>
    <definedName name="DatiEsterni_13" localSheetId="0">Data!$A$2:$B$362</definedName>
    <definedName name="DatiEsterni_14" localSheetId="0">Data!$A$2:$B$362</definedName>
    <definedName name="DatiEsterni_15" localSheetId="0">Data!$A$2:$B$362</definedName>
    <definedName name="DatiEsterni_16" localSheetId="0">Data!$A$2:$B$362</definedName>
    <definedName name="DatiEsterni_17" localSheetId="0">Data!$A$2:$B$362</definedName>
    <definedName name="DatiEsterni_18" localSheetId="0">Data!$A$2:$B$362</definedName>
    <definedName name="DatiEsterni_19" localSheetId="0">Data!$A$2:$B$362</definedName>
    <definedName name="DatiEsterni_20" localSheetId="0">Data!$A$2:$B$362</definedName>
    <definedName name="DatiEsterni_21" localSheetId="0">Data!$A$2:$B$362</definedName>
    <definedName name="DatiEsterni_22" localSheetId="0">Data!$A$2:$B$361</definedName>
    <definedName name="DatiEsterni_23" localSheetId="0">Data!$A$2:$B$362</definedName>
    <definedName name="DatiEsterni_25" localSheetId="0">Data!$A$2:$A$362</definedName>
    <definedName name="DatiEsterni_26" localSheetId="0">Data!$A$2:$B$362</definedName>
    <definedName name="DatiEsterni_27" localSheetId="0">Data!$D$2:$E$362</definedName>
    <definedName name="DatiEsterni_28" localSheetId="0">Data!$D$2:$E$362</definedName>
    <definedName name="DatiEsterni_29" localSheetId="0">Data!$A$2:$B$362</definedName>
    <definedName name="DatiEsterni_30" localSheetId="0">Data!$D$2:$E$362</definedName>
    <definedName name="DatiEsterni_31" localSheetId="0">Data!$A$2:$B$362</definedName>
    <definedName name="DatiEsterni_32" localSheetId="0">Data!$D$2:$E$362</definedName>
    <definedName name="DatiEsterni_33" localSheetId="0">Data!$D$2:$E$362</definedName>
    <definedName name="DatiEsterni_34" localSheetId="0">Data!$D$2:$E$362</definedName>
    <definedName name="DatiEsterni_35" localSheetId="0">Data!$A$2:$B$362</definedName>
    <definedName name="DatiEsterni_36" localSheetId="0">Data!$A$2:$B$362</definedName>
    <definedName name="DatiEsterni_37" localSheetId="0">Data!$A$2:$B$362</definedName>
    <definedName name="DatiEsterni_38" localSheetId="0">Data!$A$2:$B$362</definedName>
    <definedName name="DatiEsterni_39" localSheetId="0">Data!$A$2:$B$362</definedName>
    <definedName name="DatiEsterni_40" localSheetId="0">Data!$A$2:$B$362</definedName>
    <definedName name="DatiEsterni_41" localSheetId="0">Data!$D$2:$E$362</definedName>
    <definedName name="DatiEsterni_42" localSheetId="0">Data!$A$2:$B$362</definedName>
    <definedName name="DatiEsterni_43" localSheetId="0">Data!$D$2:$E$362</definedName>
    <definedName name="DatiEsterni_44" localSheetId="0">Data!$A$2:$B$362</definedName>
    <definedName name="DatiEsterni_45" localSheetId="0">Data!$D$2:$E$362</definedName>
    <definedName name="DatiEsterni_46" localSheetId="0">Data!$A$2:$B$362</definedName>
    <definedName name="DatiEsterni_47" localSheetId="0">Data!$D$2:$E$362</definedName>
    <definedName name="DatiEsterni_48" localSheetId="0">Data!$A$2:$B$362</definedName>
    <definedName name="DatiEsterni_49" localSheetId="0">Data!$D$2:$E$362</definedName>
    <definedName name="DatiEsterni_50" localSheetId="0">Data!$A$2:$B$362</definedName>
    <definedName name="DatiEsterni_51" localSheetId="0">Data!$D$2:$E$362</definedName>
    <definedName name="DatiEsterni_52" localSheetId="0">Data!$A$2:$B$362</definedName>
    <definedName name="DatiEsterni_53" localSheetId="0">Data!$D$2:$E$362</definedName>
    <definedName name="DatiEsterni_54" localSheetId="0">Data!$A$2:$B$362</definedName>
    <definedName name="DatiEsterni_55" localSheetId="0">Data!$D$2:$E$362</definedName>
    <definedName name="DatiEsterni_56" localSheetId="0">Data!$A$2:$B$362</definedName>
    <definedName name="DatiEsterni_57" localSheetId="0">Data!$D$2:$E$362</definedName>
    <definedName name="DatiEsterni_58" localSheetId="0">Data!$A$2:$B$362</definedName>
    <definedName name="DatiEsterni_59" localSheetId="0">Data!$D$2:$E$362</definedName>
    <definedName name="DatiEsterni_60" localSheetId="0">Data!$A$2:$B$362</definedName>
    <definedName name="DatiEsterni_61" localSheetId="0">Data!$D$2:$E$362</definedName>
    <definedName name="DatiEsterni_62" localSheetId="0">Data!$A$2:$B$362</definedName>
    <definedName name="DatiEsterni_63" localSheetId="0">Data!$D$2:$E$362</definedName>
    <definedName name="DatiEsterni_64" localSheetId="0">Data!$D$2:$E$362</definedName>
    <definedName name="DatiEsterni_65" localSheetId="0">Data!$A$2:$B$362</definedName>
    <definedName name="DatiEsterni_66" localSheetId="0">Data!$A$2:$B$362</definedName>
    <definedName name="DatiEsterni_67" localSheetId="0">Data!$D$2:$E$362</definedName>
    <definedName name="DatiEsterni_68" localSheetId="0">Data!$A$2:$B$362</definedName>
    <definedName name="DatiEsterni_69" localSheetId="0">Data!$D$2:$E$362</definedName>
  </definedName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49" i="1"/>
  <c r="N49"/>
  <c r="R114"/>
  <c r="R111"/>
  <c r="O68" s="1"/>
  <c r="P116"/>
  <c r="O66"/>
  <c r="G362"/>
  <c r="G3"/>
  <c r="G361"/>
  <c r="G360"/>
  <c r="G359"/>
  <c r="G358"/>
  <c r="G357"/>
  <c r="G356"/>
  <c r="G355"/>
  <c r="G354"/>
  <c r="G353"/>
  <c r="G352"/>
  <c r="G351"/>
  <c r="G350"/>
  <c r="G349"/>
  <c r="G348"/>
  <c r="G347"/>
  <c r="G346"/>
  <c r="G345"/>
  <c r="G344"/>
  <c r="G343"/>
  <c r="G342"/>
  <c r="G341"/>
  <c r="G340"/>
  <c r="G339"/>
  <c r="G338"/>
  <c r="G337"/>
  <c r="G336"/>
  <c r="G335"/>
  <c r="G334"/>
  <c r="G333"/>
  <c r="G332"/>
  <c r="G331"/>
  <c r="G330"/>
  <c r="G329"/>
  <c r="G328"/>
  <c r="G327"/>
  <c r="G326"/>
  <c r="G325"/>
  <c r="G324"/>
  <c r="G323"/>
  <c r="G322"/>
  <c r="G321"/>
  <c r="G320"/>
  <c r="G319"/>
  <c r="G318"/>
  <c r="G317"/>
  <c r="G316"/>
  <c r="G315"/>
  <c r="G314"/>
  <c r="G313"/>
  <c r="G312"/>
  <c r="G311"/>
  <c r="G310"/>
  <c r="G309"/>
  <c r="G308"/>
  <c r="G307"/>
  <c r="G306"/>
  <c r="G305"/>
  <c r="G304"/>
  <c r="G303"/>
  <c r="G302"/>
  <c r="G301"/>
  <c r="G300"/>
  <c r="G299"/>
  <c r="G298"/>
  <c r="G297"/>
  <c r="G296"/>
  <c r="G295"/>
  <c r="G294"/>
  <c r="G293"/>
  <c r="G292"/>
  <c r="G291"/>
  <c r="G290"/>
  <c r="G289"/>
  <c r="G288"/>
  <c r="G287"/>
  <c r="G286"/>
  <c r="G285"/>
  <c r="G284"/>
  <c r="G283"/>
  <c r="G282"/>
  <c r="G281"/>
  <c r="G280"/>
  <c r="G279"/>
  <c r="G278"/>
  <c r="G277"/>
  <c r="G276"/>
  <c r="G275"/>
  <c r="G274"/>
  <c r="G273"/>
  <c r="G272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F258"/>
  <c r="F259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P128"/>
  <c r="P134" s="1"/>
  <c r="P131"/>
  <c r="P133"/>
  <c r="P132"/>
  <c r="P130"/>
  <c r="P129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P112"/>
  <c r="P113" s="1"/>
  <c r="P67"/>
  <c r="R115"/>
  <c r="R113"/>
  <c r="R112" s="1"/>
  <c r="R117" s="1"/>
  <c r="P66" l="1"/>
  <c r="P114"/>
  <c r="O67" s="1"/>
  <c r="P115" l="1"/>
  <c r="P117" s="1"/>
</calcChain>
</file>

<file path=xl/connections.xml><?xml version="1.0" encoding="utf-8"?>
<connections xmlns="http://schemas.openxmlformats.org/spreadsheetml/2006/main">
  <connection id="1" name="305" type="6" refreshedVersion="3" background="1" saveData="1">
    <textPr prompt="0" sourceFile="C:\Users\roberto\Desktop\305.scr" decimal="," thousands="." comma="1">
      <textFields count="2">
        <textField type="text"/>
        <textField/>
      </textFields>
    </textPr>
  </connection>
  <connection id="2" name="3051" type="6" refreshedVersion="3" background="1" saveData="1">
    <textPr prompt="0" sourceFile="C:\Users\roberto\Desktop\305.scr" decimal="," thousands="." comma="1">
      <textFields count="2">
        <textField type="text"/>
        <textField/>
      </textFields>
    </textPr>
  </connection>
  <connection id="3" name="3052" type="6" refreshedVersion="3" background="1" saveData="1">
    <textPr prompt="0" sourceFile="C:\Users\roberto\Desktop\305.scr" decimal="," thousands="." comma="1">
      <textFields count="2">
        <textField type="text"/>
        <textField/>
      </textFields>
    </textPr>
  </connection>
  <connection id="4" name="3053" type="6" refreshedVersion="3" background="1" saveData="1">
    <textPr prompt="0" sourceFile="C:\Users\roberto\Desktop\305.scr" decimal="," thousands="." comma="1">
      <textFields count="2">
        <textField type="text"/>
        <textField/>
      </textFields>
    </textPr>
  </connection>
  <connection id="5" name="3054" type="6" refreshedVersion="0" background="1">
    <textPr prompt="0" sourceFile="C:\Users\roberto\Desktop\305.scr" decimal="," thousands=".">
      <textFields>
        <textField/>
      </textFields>
    </textPr>
  </connection>
  <connection id="6" name="3055" type="6" refreshedVersion="3" background="1" saveData="1">
    <textPr prompt="0" sourceFile="C:\Users\roberto\Desktop\305.scr" decimal="," thousands="." comma="1">
      <textFields count="3">
        <textField type="text"/>
        <textField type="skip"/>
        <textField/>
      </textFields>
    </textPr>
  </connection>
  <connection id="7" name="3056" type="6" refreshedVersion="3" background="1" saveData="1">
    <textPr prompt="0" sourceFile="C:\Users\roberto\Desktop\305.scr" decimal="," thousands="." comma="1">
      <textFields count="2">
        <textField type="text"/>
        <textField/>
      </textFields>
    </textPr>
  </connection>
  <connection id="8" name="3057" type="6" refreshedVersion="3" background="1" saveData="1">
    <textPr prompt="0" sourceFile="C:\Users\roberto\Desktop\305.scr" decimal="," thousands="." comma="1">
      <textFields count="2">
        <textField type="text"/>
        <textField/>
      </textFields>
    </textPr>
  </connection>
  <connection id="9" name="3058" type="6" refreshedVersion="3" background="1" saveData="1">
    <textPr prompt="0" sourceFile="C:\Users\roberto\Desktop\305.scr" decimal="," thousands="." comma="1">
      <textFields count="2">
        <textField type="text"/>
        <textField/>
      </textFields>
    </textPr>
  </connection>
  <connection id="10" name="306" type="6" refreshedVersion="3" background="1" saveData="1">
    <textPr prompt="0" sourceFile="C:\Users\roberto\Desktop\306.txt" decimal="," thousands="." comma="1">
      <textFields count="2">
        <textField type="text"/>
        <textField/>
      </textFields>
    </textPr>
  </connection>
  <connection id="11" name="aspirazione" type="6" refreshedVersion="3" background="1" saveData="1">
    <textPr prompt="0" sourceFile="C:\Users\roberto\Desktop\exc\aspirazione.scr" decimal="," thousands="." comma="1">
      <textFields count="2">
        <textField type="text"/>
        <textField/>
      </textFields>
    </textPr>
  </connection>
  <connection id="12" name="aspirazione1" type="6" refreshedVersion="3" background="1" saveData="1">
    <textPr prompt="0" sourceFile="C:\Users\roberto\Desktop\exc\aspirazione.scr" decimal="," thousands="." comma="1">
      <textFields count="2">
        <textField type="text"/>
        <textField/>
      </textFields>
    </textPr>
  </connection>
  <connection id="13" name="aspirazione10" type="6" refreshedVersion="3" background="1" saveData="1">
    <textPr prompt="0" sourceFile="C:\Users\roberto\Desktop\exc\aspirazione.scr" decimal="," thousands="." comma="1">
      <textFields count="2">
        <textField type="text"/>
        <textField/>
      </textFields>
    </textPr>
  </connection>
  <connection id="14" name="aspirazione11" type="6" refreshedVersion="3" background="1" saveData="1">
    <textPr prompt="0" sourceFile="C:\Users\roberto\Desktop\exc\aspirazione.scr" decimal="," thousands="." comma="1">
      <textFields count="2">
        <textField type="text"/>
        <textField/>
      </textFields>
    </textPr>
  </connection>
  <connection id="15" name="aspirazione12" type="6" refreshedVersion="3" background="1" saveData="1">
    <textPr prompt="0" sourceFile="C:\Users\roberto\Desktop\exc\aspirazione.scr" decimal="," thousands="." comma="1">
      <textFields count="2">
        <textField type="text"/>
        <textField/>
      </textFields>
    </textPr>
  </connection>
  <connection id="16" name="aspirazione13" type="6" refreshedVersion="3" background="1" saveData="1">
    <textPr prompt="0" sourceFile="C:\Users\roberto\Desktop\exc\aspirazione.scr" decimal="," thousands="." comma="1">
      <textFields count="2">
        <textField type="text"/>
        <textField/>
      </textFields>
    </textPr>
  </connection>
  <connection id="17" name="aspirazione14" type="6" refreshedVersion="3" background="1" saveData="1">
    <textPr prompt="0" sourceFile="C:\Users\roberto\Desktop\exc\aspirazione.scr" decimal="," thousands="." comma="1">
      <textFields count="2">
        <textField type="text"/>
        <textField/>
      </textFields>
    </textPr>
  </connection>
  <connection id="18" name="aspirazione15" type="6" refreshedVersion="3" background="1" saveData="1">
    <textPr prompt="0" sourceFile="C:\Users\roberto\Desktop\exc\aspirazione.scr" decimal="," thousands="." comma="1">
      <textFields count="2">
        <textField type="text"/>
        <textField/>
      </textFields>
    </textPr>
  </connection>
  <connection id="19" name="aspirazione16" type="6" refreshedVersion="3" background="1" saveData="1">
    <textPr prompt="0" sourceFile="C:\Users\roberto\Desktop\exc\aspirazione.scr" decimal="," thousands="." comma="1">
      <textFields count="2">
        <textField type="text"/>
        <textField/>
      </textFields>
    </textPr>
  </connection>
  <connection id="20" name="aspirazione2" type="6" refreshedVersion="3" background="1" saveData="1">
    <textPr prompt="0" sourceFile="C:\Users\roberto\Desktop\exc\aspirazione.scr" decimal="," thousands="." comma="1">
      <textFields count="2">
        <textField type="text"/>
        <textField/>
      </textFields>
    </textPr>
  </connection>
  <connection id="21" name="aspirazione3" type="6" refreshedVersion="3" background="1" saveData="1">
    <textPr prompt="0" sourceFile="C:\Users\roberto\Desktop\exc\aspirazione.scr" decimal="," thousands="." comma="1">
      <textFields count="2">
        <textField type="text"/>
        <textField/>
      </textFields>
    </textPr>
  </connection>
  <connection id="22" name="aspirazione4" type="6" refreshedVersion="3" background="1" saveData="1">
    <textPr prompt="0" sourceFile="C:\Users\roberto\Desktop\exc\aspirazione.scr" decimal="," thousands="." comma="1">
      <textFields count="2">
        <textField type="text"/>
        <textField/>
      </textFields>
    </textPr>
  </connection>
  <connection id="23" name="aspirazione5" type="6" refreshedVersion="3" background="1" saveData="1">
    <textPr prompt="0" sourceFile="C:\Users\roberto\Desktop\exc\aspirazione.scr" decimal="," thousands="." comma="1">
      <textFields count="2">
        <textField type="text"/>
        <textField/>
      </textFields>
    </textPr>
  </connection>
  <connection id="24" name="aspirazione6" type="6" refreshedVersion="3" background="1" saveData="1">
    <textPr prompt="0" sourceFile="C:\Users\roberto\Desktop\exc\aspirazione.scr" decimal="," thousands="." comma="1">
      <textFields count="2">
        <textField type="text"/>
        <textField/>
      </textFields>
    </textPr>
  </connection>
  <connection id="25" name="aspirazione7" type="6" refreshedVersion="3" background="1" saveData="1">
    <textPr prompt="0" sourceFile="C:\Users\roberto\Desktop\exc\aspirazione.scr" decimal="," thousands="." comma="1">
      <textFields count="2">
        <textField type="text"/>
        <textField/>
      </textFields>
    </textPr>
  </connection>
  <connection id="26" name="aspirazione8" type="6" refreshedVersion="3" background="1" saveData="1">
    <textPr prompt="0" sourceFile="C:\Users\roberto\Desktop\exc\aspirazione.scr" decimal="," thousands="." comma="1">
      <textFields count="2">
        <textField type="text"/>
        <textField/>
      </textFields>
    </textPr>
  </connection>
  <connection id="27" name="aspirazione9" type="6" refreshedVersion="3" background="1" saveData="1">
    <textPr prompt="0" sourceFile="C:\Users\roberto\Desktop\exc\aspirazione.scr" decimal="," thousands="." comma="1">
      <textFields count="2">
        <textField type="text"/>
        <textField/>
      </textFields>
    </textPr>
  </connection>
  <connection id="28" name="fiat fca asp tab_alz" type="6" refreshedVersion="3" background="1" saveData="1">
    <textPr prompt="0" sourceFile="C:\Users\roberto\Desktop\exc\fiat fca asp tab_alz.scr" decimal="," thousands="." comma="1">
      <textFields count="2">
        <textField type="text"/>
        <textField/>
      </textFields>
    </textPr>
  </connection>
  <connection id="29" name="fiat fca asp tab_alz1" type="6" refreshedVersion="3" background="1" saveData="1">
    <textPr prompt="0" sourceFile="C:\Users\roberto\Desktop\exc\fiat fca asp tab_alz.scr" decimal="," thousands="." comma="1">
      <textFields count="2">
        <textField type="text"/>
        <textField/>
      </textFields>
    </textPr>
  </connection>
  <connection id="30" name="fiat fca sc tab_alz" type="6" refreshedVersion="3" background="1" saveData="1">
    <textPr prompt="0" sourceFile="C:\Users\roberto\Desktop\exc\fiat fca sc tab_alz.scr" decimal="," thousands="." comma="1">
      <textFields count="2">
        <textField type="text"/>
        <textField/>
      </textFields>
    </textPr>
  </connection>
  <connection id="31" name="fiat fca sc tab_alz1" type="6" refreshedVersion="3" background="1" saveData="1">
    <textPr prompt="0" sourceFile="C:\Users\roberto\Desktop\exc\fiat fca sc tab_alz.scr" decimal="," thousands="." comma="1">
      <textFields count="2">
        <textField type="text"/>
        <textField/>
      </textFields>
    </textPr>
  </connection>
  <connection id="32" keepAlive="1" name="Query - renault clio grA asp 13_4_alz" description="Connessione alla query 'renault clio grA asp 13_4_alz' nella cartella di lavoro." type="5" refreshedVersion="0" background="1">
    <dbPr connection="Provider=Microsoft.Mashup.OleDb.1;Data Source=$Workbook$;Location=&quot;renault clio grA asp 13_4_alz&quot;;Extended Properties=&quot;&quot;" command="SELECT * FROM [renault clio grA asp 13_4_alz]"/>
  </connection>
  <connection id="33" keepAlive="1" name="Query - renault clio grA asp 13_4_alz (2)" description="Connessione alla query 'renault clio grA asp 13_4_alz (2)' nella cartella di lavoro." type="5" refreshedVersion="0" background="1" saveData="1">
    <dbPr connection="Provider=Microsoft.Mashup.OleDb.1;Data Source=$Workbook$;Location=&quot;renault clio grA asp 13_4_alz (2)&quot;;Extended Properties=&quot;&quot;" command="SELECT * FROM [renault clio grA asp 13_4_alz (2)]"/>
  </connection>
  <connection id="34" name="renault clio grA asp 13_4_alz" type="6" refreshedVersion="6" background="1" saveData="1">
    <textPr prompt="0" sourceFile="C:\Users\raffaele.busa\Desktop\Gio\renault clio grA asp 13_4_alz.txt" decimal="," thousands="." comma="1">
      <textFields count="2">
        <textField type="text"/>
        <textField/>
      </textFields>
    </textPr>
  </connection>
  <connection id="35" name="renault clio grA asp 13_4_alz1" type="6" refreshedVersion="6" background="1" saveData="1">
    <textPr prompt="0" sourceFile="C:\Users\raffaele.busa\Desktop\Gio\renault clio grA asp 13_4_alz.txt" decimal="," thousands="." comma="1">
      <textFields count="2">
        <textField type="text"/>
        <textField/>
      </textFields>
    </textPr>
  </connection>
  <connection id="36" name="renault clio grA asp 13_4_alz10" type="6" refreshedVersion="6" background="1" saveData="1">
    <textPr prompt="0" sourceFile="C:\Users\raffaele.busa\Desktop\Gio\renault clio grA asp 13_4_alz.txt" decimal="," thousands="." comma="1">
      <textFields count="2">
        <textField type="text"/>
        <textField/>
      </textFields>
    </textPr>
  </connection>
  <connection id="37" name="renault clio grA asp 13_4_alz7" type="6" refreshedVersion="6" background="1" saveData="1">
    <textPr prompt="0" sourceFile="C:\Users\raffaele.busa\Desktop\Gio\renault clio grA asp 13_4_alz.txt" decimal="," thousands="." comma="1">
      <textFields count="2">
        <textField type="text"/>
        <textField/>
      </textFields>
    </textPr>
  </connection>
  <connection id="38" name="renault clio grA asp 13_4_alz8" type="6" refreshedVersion="6" background="1" saveData="1">
    <textPr prompt="0" sourceFile="C:\Users\raffaele.busa\Desktop\Gio\renault clio grA asp 13_4_alz.txt" decimal="," thousands="." comma="1">
      <textFields count="2">
        <textField type="text"/>
        <textField/>
      </textFields>
    </textPr>
  </connection>
  <connection id="39" name="renault clio grA asp 13_4_alz9" type="6" refreshedVersion="6" background="1" saveData="1">
    <textPr prompt="0" sourceFile="C:\Users\raffaele.busa\Desktop\Gio\renault clio grA asp 13_4_alz.txt" decimal="," thousands="." comma="1">
      <textFields count="2">
        <textField type="text"/>
        <textField/>
      </textFields>
    </textPr>
  </connection>
  <connection id="40" name="scarico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41" name="scarico1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42" name="scarico10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43" name="scarico11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44" name="scarico12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45" name="scarico13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46" name="scarico14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47" name="scarico15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48" name="scarico16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49" name="scarico17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50" name="scarico18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51" name="scarico19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52" name="scarico2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53" name="scarico3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54" name="scarico4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55" name="scarico5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56" name="scarico6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57" name="scarico7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58" name="scarico8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  <connection id="59" name="scarico9" type="6" refreshedVersion="3" background="1" saveData="1">
    <textPr prompt="0" sourceFile="C:\Users\roberto\Desktop\exc\scarico.scr" decimal="," thousands="." comma="1">
      <textFields count="2">
        <textField type="text"/>
        <textField/>
      </textFields>
    </textPr>
  </connection>
</connections>
</file>

<file path=xl/sharedStrings.xml><?xml version="1.0" encoding="utf-8"?>
<sst xmlns="http://schemas.openxmlformats.org/spreadsheetml/2006/main" count="773" uniqueCount="403">
  <si>
    <t>Gradi iniziali</t>
  </si>
  <si>
    <t xml:space="preserve">  gradi</t>
  </si>
  <si>
    <t xml:space="preserve">                                              INTERPOLAZIONE</t>
  </si>
  <si>
    <t>Aspirazione</t>
  </si>
  <si>
    <t>Scarico</t>
  </si>
  <si>
    <t xml:space="preserve"> </t>
  </si>
  <si>
    <t>Intake duration</t>
  </si>
  <si>
    <t>Exhaust duration</t>
  </si>
  <si>
    <t>Lobe separation</t>
  </si>
  <si>
    <t>Advance</t>
  </si>
  <si>
    <t>Intake open BTC</t>
  </si>
  <si>
    <t>Exhaust open BBC</t>
  </si>
  <si>
    <t>Exhaust close ATC</t>
  </si>
  <si>
    <t>Intake center</t>
  </si>
  <si>
    <t>Exhaust center</t>
  </si>
  <si>
    <t>Degrees overlap</t>
  </si>
  <si>
    <t>IN</t>
  </si>
  <si>
    <t>EX</t>
  </si>
  <si>
    <t>Instabilita' al minimo</t>
  </si>
  <si>
    <t>Stabilita' al minimo</t>
  </si>
  <si>
    <t>GRAPH FORMULA</t>
  </si>
  <si>
    <t>After TDC</t>
  </si>
  <si>
    <t>Before Center Angle</t>
  </si>
  <si>
    <t>REST</t>
  </si>
  <si>
    <t>Before BDC</t>
  </si>
  <si>
    <t>After BDC</t>
  </si>
  <si>
    <t>Before TDC</t>
  </si>
  <si>
    <t>Gioco Aspirazione</t>
  </si>
  <si>
    <t>_pline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</si>
  <si>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</si>
  <si>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</si>
  <si>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</si>
  <si>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</si>
  <si>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</si>
  <si>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</si>
  <si>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</si>
  <si>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</si>
  <si>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</si>
  <si>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</si>
  <si>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</si>
  <si>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</si>
  <si>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</si>
  <si>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</si>
  <si>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</si>
  <si>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</si>
  <si>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</si>
  <si>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</si>
  <si>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</si>
  <si>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</si>
  <si>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</si>
  <si>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</si>
  <si>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</si>
  <si>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</si>
  <si>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</si>
  <si>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</si>
  <si>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</si>
  <si>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</si>
  <si>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</si>
  <si>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</si>
  <si>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</si>
  <si>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</si>
  <si>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</si>
  <si>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</si>
  <si>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</si>
  <si>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</si>
  <si>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</si>
  <si>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</si>
  <si>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</si>
  <si>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</si>
  <si>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</si>
  <si>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</si>
  <si>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</si>
  <si>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</si>
  <si>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</si>
  <si>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</si>
  <si>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</si>
  <si>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</si>
  <si>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</si>
  <si>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</si>
  <si>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</si>
  <si>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</si>
  <si>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</si>
  <si>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</si>
  <si>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</si>
  <si>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</si>
  <si>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</si>
  <si>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</si>
  <si>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</si>
  <si>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</si>
  <si>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</si>
  <si>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</si>
  <si>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</si>
  <si>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</si>
  <si>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</si>
  <si>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</si>
  <si>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</si>
  <si>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</si>
  <si>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</si>
  <si>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</si>
  <si>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</si>
  <si>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</si>
  <si>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</si>
  <si>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</si>
  <si>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</si>
  <si>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</si>
  <si>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</si>
  <si>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</si>
  <si>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</si>
  <si>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</si>
  <si>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</si>
  <si>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</si>
  <si>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</si>
  <si>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</si>
  <si>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</si>
  <si>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</si>
  <si>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</si>
  <si>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</si>
  <si>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</si>
  <si>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</si>
  <si>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</si>
  <si>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</si>
  <si>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</si>
  <si>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</si>
  <si>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</si>
  <si>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</si>
  <si>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</si>
  <si>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</si>
  <si>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</si>
  <si>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</si>
  <si>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</si>
  <si>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</si>
  <si>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</si>
  <si>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</si>
  <si>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</si>
  <si>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</si>
  <si>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</si>
  <si>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</si>
  <si>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</si>
  <si>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</si>
  <si>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</si>
  <si>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</si>
  <si>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</si>
  <si>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</si>
  <si>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</si>
  <si>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</si>
  <si>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</si>
  <si>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</si>
  <si>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</si>
  <si>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</si>
  <si>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</si>
  <si>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</si>
  <si>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</si>
  <si>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</si>
  <si>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</si>
  <si>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</si>
  <si>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</si>
  <si>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</si>
  <si>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</si>
  <si>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</si>
  <si>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</si>
  <si>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</si>
  <si>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</si>
  <si>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</si>
  <si>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</si>
  <si>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</si>
  <si>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</si>
  <si>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</si>
  <si>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</si>
  <si>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</si>
  <si>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</si>
  <si>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</si>
  <si>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</si>
  <si>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</si>
  <si>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</si>
  <si>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</si>
  <si>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</si>
  <si>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</si>
  <si>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</si>
  <si>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</si>
  <si>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</si>
  <si>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</si>
  <si>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</si>
  <si>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</si>
  <si>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</si>
  <si>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</si>
  <si>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</si>
  <si>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</si>
  <si>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</si>
  <si>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</si>
  <si>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</si>
  <si>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</si>
  <si>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</si>
  <si>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</si>
  <si>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</si>
  <si>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</si>
  <si>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</si>
  <si>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</si>
  <si>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</si>
  <si>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</si>
  <si>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</si>
  <si>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</si>
  <si>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</si>
  <si>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</si>
  <si>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</si>
  <si>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</si>
  <si>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</si>
  <si>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</si>
  <si>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</si>
  <si>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</si>
  <si>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</si>
  <si>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</si>
  <si>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</si>
  <si>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</si>
  <si>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</si>
  <si>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</si>
  <si>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</si>
  <si>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</si>
  <si>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</si>
  <si>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</si>
  <si>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</si>
  <si>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</si>
  <si>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</si>
  <si>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</si>
  <si>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</si>
  <si>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</si>
  <si>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</si>
  <si>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</si>
  <si>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</si>
  <si>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</si>
  <si>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</si>
  <si>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</si>
  <si>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</si>
  <si>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</si>
  <si>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</si>
  <si>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</si>
  <si>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</si>
  <si>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</si>
  <si>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</si>
  <si>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</si>
  <si>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</si>
  <si>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</si>
  <si>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</si>
  <si>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</si>
  <si>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</si>
  <si>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</si>
  <si>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</si>
  <si>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</si>
  <si>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</si>
  <si>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</si>
  <si>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</si>
  <si>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</si>
  <si>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</si>
  <si>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</si>
  <si>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</si>
  <si>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</si>
  <si>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</si>
  <si>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</si>
  <si>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</si>
  <si>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</si>
  <si>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</si>
  <si>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</si>
  <si>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</si>
  <si>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</si>
  <si>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</si>
  <si>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</si>
  <si>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</si>
  <si>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</si>
  <si>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</si>
  <si>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</si>
  <si>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</si>
  <si>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</si>
  <si>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</si>
  <si>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</si>
  <si>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</si>
  <si>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</si>
  <si>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</si>
  <si>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</si>
  <si>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</si>
  <si>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</si>
  <si>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</si>
  <si>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</si>
  <si>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</si>
  <si>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</si>
  <si>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</si>
  <si>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</si>
  <si>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</si>
  <si>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</si>
  <si>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</si>
  <si>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</si>
  <si>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</si>
  <si>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</si>
  <si>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</si>
  <si>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</si>
  <si>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</si>
  <si>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</si>
  <si>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</si>
  <si>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</si>
  <si>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</si>
  <si>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</si>
  <si>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</si>
  <si>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</si>
  <si>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</si>
  <si>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</si>
  <si>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</si>
  <si>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</si>
  <si>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</si>
  <si>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</si>
  <si>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</si>
  <si>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</si>
  <si>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</si>
  <si>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</si>
  <si>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</si>
  <si>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</si>
  <si>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</si>
  <si>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</si>
  <si>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</si>
  <si>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</si>
  <si>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</si>
  <si>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</si>
  <si>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</si>
  <si>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</si>
  <si>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</si>
  <si>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</si>
  <si>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</si>
  <si>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</si>
  <si>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</si>
  <si>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</si>
  <si>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</si>
  <si>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</si>
  <si>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</si>
  <si>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</si>
  <si>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</si>
  <si>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</si>
  <si>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</si>
  <si>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</si>
  <si>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</si>
  <si>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</si>
  <si>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</si>
  <si>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</si>
  <si>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</si>
  <si>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</si>
  <si>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</si>
  <si>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</si>
  <si>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</si>
  <si>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</si>
  <si>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</si>
  <si>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</si>
  <si>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</si>
  <si>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</si>
  <si>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</si>
  <si>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</si>
  <si>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</si>
  <si>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</si>
  <si>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</si>
  <si>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</si>
  <si>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</si>
  <si>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</si>
  <si>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</si>
  <si>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</si>
  <si>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</si>
  <si>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</si>
  <si>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</si>
  <si>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</si>
  <si>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</si>
  <si>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</si>
  <si>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</si>
  <si>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</si>
  <si>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</si>
  <si>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</si>
  <si>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</si>
  <si>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</si>
  <si>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</si>
  <si>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</si>
  <si>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</si>
  <si>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</si>
  <si>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</si>
  <si>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</si>
  <si>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</si>
  <si>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</si>
  <si>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</si>
  <si>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</si>
  <si>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</si>
  <si>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</si>
  <si>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</si>
  <si>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</si>
  <si>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</si>
  <si>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</si>
  <si>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</si>
  <si>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</si>
  <si>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Durata Scarico</t>
  </si>
  <si>
    <t>Gioco Scarico</t>
  </si>
  <si>
    <t>Durata Aspirazione</t>
  </si>
  <si>
    <t>DURATA</t>
  </si>
  <si>
    <t>ANGOLO LOBI</t>
  </si>
  <si>
    <t>TEMPO DI APERTURA</t>
  </si>
  <si>
    <t>TEMPO DI CHIUSURA</t>
  </si>
  <si>
    <t>ANGOLO DI INCROCIO</t>
  </si>
  <si>
    <t xml:space="preserve">       Angolo lobo</t>
  </si>
  <si>
    <t xml:space="preserve">After TDC </t>
  </si>
  <si>
    <t>Intake colse ABC</t>
  </si>
  <si>
    <t>ALZATA PMS</t>
  </si>
  <si>
    <t>Gioco scarico</t>
  </si>
  <si>
    <t>Gioco aspirazione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</si>
</sst>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 tint="-0.89999084444715716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4">
    <xf numFmtId="0" fontId="0" fillId="0" borderId="0" xfId="0"/>
    <xf numFmtId="49" fontId="0" fillId="0" borderId="0" xfId="0" applyNumberFormat="1"/>
    <xf numFmtId="0" fontId="0" fillId="4" borderId="0" xfId="0" applyFill="1"/>
    <xf numFmtId="0" fontId="0" fillId="3" borderId="1" xfId="0" applyFill="1" applyBorder="1"/>
    <xf numFmtId="49" fontId="1" fillId="5" borderId="1" xfId="0" applyNumberFormat="1" applyFont="1" applyFill="1" applyBorder="1"/>
    <xf numFmtId="0" fontId="3" fillId="6" borderId="6" xfId="0" applyFont="1" applyFill="1" applyBorder="1"/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4" borderId="0" xfId="0" applyFill="1" applyBorder="1"/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 applyAlignment="1">
      <alignment horizontal="center"/>
    </xf>
    <xf numFmtId="2" fontId="0" fillId="0" borderId="0" xfId="0" applyNumberFormat="1" applyAlignment="1"/>
    <xf numFmtId="0" fontId="0" fillId="9" borderId="1" xfId="0" applyFill="1" applyBorder="1" applyAlignment="1">
      <alignment horizontal="left"/>
    </xf>
    <xf numFmtId="0" fontId="8" fillId="6" borderId="1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8" borderId="4" xfId="0" applyNumberFormat="1" applyFill="1" applyBorder="1" applyAlignment="1">
      <alignment horizontal="center"/>
    </xf>
    <xf numFmtId="2" fontId="0" fillId="8" borderId="5" xfId="0" applyNumberFormat="1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2" fontId="0" fillId="8" borderId="9" xfId="0" applyNumberFormat="1" applyFill="1" applyBorder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7" borderId="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0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3" xfId="0" applyFill="1" applyBorder="1"/>
    <xf numFmtId="0" fontId="6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8" fillId="6" borderId="6" xfId="0" applyFont="1" applyFill="1" applyBorder="1" applyAlignment="1">
      <alignment horizontal="center"/>
    </xf>
    <xf numFmtId="0" fontId="4" fillId="4" borderId="0" xfId="0" applyFont="1" applyFill="1" applyBorder="1"/>
    <xf numFmtId="0" fontId="5" fillId="4" borderId="0" xfId="0" applyFont="1" applyFill="1" applyBorder="1"/>
    <xf numFmtId="49" fontId="0" fillId="2" borderId="4" xfId="0" applyNumberFormat="1" applyFill="1" applyBorder="1" applyAlignment="1">
      <alignment horizontal="center"/>
    </xf>
    <xf numFmtId="49" fontId="0" fillId="2" borderId="5" xfId="0" applyNumberFormat="1" applyFill="1" applyBorder="1" applyAlignment="1">
      <alignment horizontal="center"/>
    </xf>
    <xf numFmtId="0" fontId="10" fillId="7" borderId="0" xfId="0" applyFont="1" applyFill="1" applyBorder="1"/>
    <xf numFmtId="0" fontId="10" fillId="7" borderId="0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left"/>
    </xf>
    <xf numFmtId="0" fontId="11" fillId="12" borderId="1" xfId="0" applyFont="1" applyFill="1" applyBorder="1" applyAlignment="1">
      <alignment horizontal="center" vertical="center"/>
    </xf>
    <xf numFmtId="0" fontId="11" fillId="13" borderId="1" xfId="0" applyFont="1" applyFill="1" applyBorder="1" applyAlignment="1" applyProtection="1">
      <alignment horizontal="center" vertical="center"/>
      <protection locked="0"/>
    </xf>
    <xf numFmtId="0" fontId="11" fillId="14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Border="1" applyAlignment="1">
      <alignment vertical="center"/>
    </xf>
    <xf numFmtId="0" fontId="0" fillId="11" borderId="6" xfId="0" applyFill="1" applyBorder="1"/>
    <xf numFmtId="0" fontId="12" fillId="11" borderId="7" xfId="0" applyFont="1" applyFill="1" applyBorder="1" applyAlignment="1">
      <alignment vertical="center"/>
    </xf>
    <xf numFmtId="0" fontId="0" fillId="11" borderId="7" xfId="0" applyFill="1" applyBorder="1"/>
    <xf numFmtId="0" fontId="0" fillId="11" borderId="8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2" fontId="0" fillId="4" borderId="0" xfId="0" applyNumberFormat="1" applyFill="1"/>
    <xf numFmtId="0" fontId="11" fillId="12" borderId="1" xfId="0" applyFont="1" applyFill="1" applyBorder="1" applyAlignment="1">
      <alignment horizontal="center" vertical="center"/>
    </xf>
    <xf numFmtId="0" fontId="9" fillId="7" borderId="1" xfId="0" applyFont="1" applyFill="1" applyBorder="1"/>
    <xf numFmtId="0" fontId="12" fillId="4" borderId="0" xfId="0" applyFont="1" applyFill="1" applyBorder="1" applyAlignment="1">
      <alignment vertical="center"/>
    </xf>
    <xf numFmtId="0" fontId="0" fillId="10" borderId="11" xfId="0" applyFill="1" applyBorder="1"/>
    <xf numFmtId="0" fontId="0" fillId="10" borderId="12" xfId="0" applyFill="1" applyBorder="1"/>
    <xf numFmtId="0" fontId="0" fillId="10" borderId="13" xfId="0" applyFill="1" applyBorder="1"/>
    <xf numFmtId="0" fontId="0" fillId="10" borderId="10" xfId="0" applyFill="1" applyBorder="1"/>
    <xf numFmtId="0" fontId="0" fillId="10" borderId="0" xfId="0" applyFill="1" applyBorder="1"/>
    <xf numFmtId="0" fontId="0" fillId="10" borderId="2" xfId="0" applyFill="1" applyBorder="1"/>
    <xf numFmtId="0" fontId="0" fillId="10" borderId="14" xfId="0" applyFill="1" applyBorder="1"/>
    <xf numFmtId="0" fontId="0" fillId="10" borderId="15" xfId="0" applyFill="1" applyBorder="1"/>
    <xf numFmtId="0" fontId="0" fillId="10" borderId="3" xfId="0" applyFill="1" applyBorder="1"/>
    <xf numFmtId="0" fontId="0" fillId="15" borderId="11" xfId="0" applyFill="1" applyBorder="1"/>
    <xf numFmtId="0" fontId="0" fillId="15" borderId="12" xfId="0" applyFill="1" applyBorder="1"/>
    <xf numFmtId="0" fontId="0" fillId="15" borderId="13" xfId="0" applyFill="1" applyBorder="1"/>
    <xf numFmtId="0" fontId="0" fillId="15" borderId="10" xfId="0" applyFill="1" applyBorder="1"/>
    <xf numFmtId="0" fontId="0" fillId="15" borderId="0" xfId="0" applyFill="1" applyBorder="1"/>
    <xf numFmtId="0" fontId="0" fillId="15" borderId="2" xfId="0" applyFill="1" applyBorder="1"/>
    <xf numFmtId="0" fontId="0" fillId="15" borderId="14" xfId="0" applyFill="1" applyBorder="1"/>
    <xf numFmtId="0" fontId="0" fillId="15" borderId="15" xfId="0" applyFill="1" applyBorder="1"/>
    <xf numFmtId="0" fontId="0" fillId="15" borderId="3" xfId="0" applyFill="1" applyBorder="1"/>
    <xf numFmtId="0" fontId="12" fillId="15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vertical="center"/>
    </xf>
    <xf numFmtId="2" fontId="0" fillId="8" borderId="10" xfId="0" applyNumberFormat="1" applyFill="1" applyBorder="1" applyAlignment="1">
      <alignment horizontal="center"/>
    </xf>
    <xf numFmtId="0" fontId="0" fillId="17" borderId="6" xfId="0" applyFill="1" applyBorder="1"/>
    <xf numFmtId="0" fontId="0" fillId="17" borderId="7" xfId="0" applyFill="1" applyBorder="1"/>
    <xf numFmtId="0" fontId="0" fillId="17" borderId="8" xfId="0" applyFill="1" applyBorder="1"/>
    <xf numFmtId="0" fontId="0" fillId="19" borderId="6" xfId="0" applyFill="1" applyBorder="1"/>
    <xf numFmtId="1" fontId="13" fillId="6" borderId="1" xfId="0" applyNumberFormat="1" applyFont="1" applyFill="1" applyBorder="1" applyAlignment="1">
      <alignment horizontal="center"/>
    </xf>
    <xf numFmtId="1" fontId="13" fillId="18" borderId="1" xfId="0" applyNumberFormat="1" applyFont="1" applyFill="1" applyBorder="1" applyAlignment="1">
      <alignment horizontal="center"/>
    </xf>
    <xf numFmtId="0" fontId="15" fillId="7" borderId="0" xfId="0" applyFont="1" applyFill="1" applyBorder="1" applyAlignment="1">
      <alignment horizontal="center"/>
    </xf>
    <xf numFmtId="0" fontId="0" fillId="15" borderId="12" xfId="0" applyFill="1" applyBorder="1" applyAlignment="1">
      <alignment horizontal="center"/>
    </xf>
    <xf numFmtId="0" fontId="0" fillId="15" borderId="11" xfId="0" applyFill="1" applyBorder="1" applyAlignment="1"/>
    <xf numFmtId="0" fontId="0" fillId="15" borderId="0" xfId="0" applyFill="1" applyBorder="1" applyAlignment="1">
      <alignment horizontal="center"/>
    </xf>
    <xf numFmtId="0" fontId="12" fillId="15" borderId="6" xfId="0" applyFont="1" applyFill="1" applyBorder="1" applyAlignment="1">
      <alignment horizontal="center" vertical="center"/>
    </xf>
    <xf numFmtId="0" fontId="12" fillId="15" borderId="11" xfId="0" applyFont="1" applyFill="1" applyBorder="1" applyAlignment="1">
      <alignment horizontal="center" vertical="center"/>
    </xf>
    <xf numFmtId="0" fontId="12" fillId="15" borderId="13" xfId="0" applyFont="1" applyFill="1" applyBorder="1" applyAlignment="1">
      <alignment horizontal="center" vertical="center"/>
    </xf>
    <xf numFmtId="0" fontId="4" fillId="15" borderId="0" xfId="0" applyFont="1" applyFill="1" applyBorder="1"/>
    <xf numFmtId="0" fontId="5" fillId="15" borderId="0" xfId="0" applyFont="1" applyFill="1" applyBorder="1"/>
    <xf numFmtId="0" fontId="4" fillId="15" borderId="15" xfId="0" applyFont="1" applyFill="1" applyBorder="1"/>
    <xf numFmtId="0" fontId="0" fillId="15" borderId="15" xfId="0" applyFill="1" applyBorder="1" applyAlignment="1">
      <alignment horizontal="center"/>
    </xf>
    <xf numFmtId="0" fontId="6" fillId="20" borderId="1" xfId="0" applyFont="1" applyFill="1" applyBorder="1" applyAlignment="1">
      <alignment horizontal="center"/>
    </xf>
    <xf numFmtId="0" fontId="6" fillId="20" borderId="8" xfId="0" applyFont="1" applyFill="1" applyBorder="1" applyAlignment="1">
      <alignment horizontal="center"/>
    </xf>
    <xf numFmtId="0" fontId="5" fillId="12" borderId="1" xfId="0" applyFont="1" applyFill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/>
    </xf>
    <xf numFmtId="0" fontId="9" fillId="16" borderId="8" xfId="0" applyFont="1" applyFill="1" applyBorder="1" applyAlignment="1">
      <alignment horizontal="center"/>
    </xf>
    <xf numFmtId="0" fontId="0" fillId="15" borderId="12" xfId="0" applyFont="1" applyFill="1" applyBorder="1"/>
    <xf numFmtId="0" fontId="0" fillId="15" borderId="14" xfId="0" applyFont="1" applyFill="1" applyBorder="1"/>
    <xf numFmtId="0" fontId="0" fillId="15" borderId="15" xfId="0" applyFont="1" applyFill="1" applyBorder="1"/>
    <xf numFmtId="0" fontId="0" fillId="15" borderId="3" xfId="0" applyFont="1" applyFill="1" applyBorder="1"/>
    <xf numFmtId="0" fontId="0" fillId="6" borderId="1" xfId="0" applyFill="1" applyBorder="1"/>
    <xf numFmtId="0" fontId="16" fillId="21" borderId="1" xfId="0" applyFont="1" applyFill="1" applyBorder="1"/>
    <xf numFmtId="2" fontId="8" fillId="6" borderId="1" xfId="0" applyNumberFormat="1" applyFont="1" applyFill="1" applyBorder="1" applyAlignment="1">
      <alignment horizontal="center"/>
    </xf>
    <xf numFmtId="0" fontId="8" fillId="21" borderId="1" xfId="0" applyFont="1" applyFill="1" applyBorder="1" applyAlignment="1">
      <alignment horizontal="center"/>
    </xf>
    <xf numFmtId="0" fontId="7" fillId="6" borderId="7" xfId="0" applyFont="1" applyFill="1" applyBorder="1"/>
    <xf numFmtId="0" fontId="7" fillId="6" borderId="8" xfId="0" applyFont="1" applyFill="1" applyBorder="1"/>
    <xf numFmtId="0" fontId="8" fillId="6" borderId="7" xfId="0" applyFont="1" applyFill="1" applyBorder="1" applyAlignment="1">
      <alignment horizontal="center"/>
    </xf>
    <xf numFmtId="0" fontId="7" fillId="6" borderId="7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8" fillId="21" borderId="6" xfId="0" applyFont="1" applyFill="1" applyBorder="1" applyAlignment="1">
      <alignment horizontal="center"/>
    </xf>
    <xf numFmtId="0" fontId="8" fillId="21" borderId="8" xfId="0" applyFont="1" applyFill="1" applyBorder="1" applyAlignment="1">
      <alignment horizontal="center"/>
    </xf>
    <xf numFmtId="0" fontId="7" fillId="21" borderId="1" xfId="0" applyFont="1" applyFill="1" applyBorder="1" applyAlignment="1">
      <alignment horizontal="center"/>
    </xf>
    <xf numFmtId="0" fontId="8" fillId="6" borderId="1" xfId="0" applyNumberFormat="1" applyFont="1" applyFill="1" applyBorder="1" applyAlignment="1">
      <alignment horizontal="center"/>
    </xf>
    <xf numFmtId="0" fontId="3" fillId="18" borderId="6" xfId="0" applyFont="1" applyFill="1" applyBorder="1"/>
    <xf numFmtId="0" fontId="2" fillId="18" borderId="7" xfId="0" applyFont="1" applyFill="1" applyBorder="1"/>
    <xf numFmtId="0" fontId="2" fillId="18" borderId="8" xfId="0" applyFont="1" applyFill="1" applyBorder="1"/>
    <xf numFmtId="0" fontId="11" fillId="12" borderId="8" xfId="0" applyFont="1" applyFill="1" applyBorder="1" applyAlignment="1">
      <alignment horizontal="center" vertical="center"/>
    </xf>
    <xf numFmtId="0" fontId="11" fillId="13" borderId="8" xfId="0" applyFont="1" applyFill="1" applyBorder="1" applyAlignment="1" applyProtection="1">
      <alignment horizontal="center" vertical="center"/>
      <protection locked="0"/>
    </xf>
    <xf numFmtId="0" fontId="11" fillId="14" borderId="8" xfId="0" applyFont="1" applyFill="1" applyBorder="1" applyAlignment="1" applyProtection="1">
      <alignment horizontal="center" vertical="center"/>
      <protection locked="0"/>
    </xf>
    <xf numFmtId="0" fontId="0" fillId="4" borderId="10" xfId="0" applyFill="1" applyBorder="1"/>
    <xf numFmtId="0" fontId="0" fillId="15" borderId="1" xfId="0" applyFill="1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0" fontId="7" fillId="18" borderId="1" xfId="0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 vertical="center"/>
    </xf>
    <xf numFmtId="0" fontId="11" fillId="12" borderId="12" xfId="0" applyFont="1" applyFill="1" applyBorder="1" applyAlignment="1">
      <alignment horizontal="center" vertical="center"/>
    </xf>
    <xf numFmtId="0" fontId="11" fillId="12" borderId="13" xfId="0" applyFont="1" applyFill="1" applyBorder="1" applyAlignment="1">
      <alignment horizontal="center" vertical="center"/>
    </xf>
    <xf numFmtId="0" fontId="14" fillId="19" borderId="7" xfId="0" applyFont="1" applyFill="1" applyBorder="1" applyAlignment="1">
      <alignment horizontal="left"/>
    </xf>
    <xf numFmtId="0" fontId="14" fillId="19" borderId="8" xfId="0" applyFont="1" applyFill="1" applyBorder="1" applyAlignment="1">
      <alignment horizontal="left"/>
    </xf>
    <xf numFmtId="0" fontId="0" fillId="15" borderId="9" xfId="0" applyFont="1" applyFill="1" applyBorder="1" applyAlignment="1">
      <alignment horizontal="center"/>
    </xf>
    <xf numFmtId="0" fontId="0" fillId="15" borderId="6" xfId="0" applyFont="1" applyFill="1" applyBorder="1" applyAlignment="1">
      <alignment horizontal="center"/>
    </xf>
    <xf numFmtId="0" fontId="0" fillId="15" borderId="7" xfId="0" applyFont="1" applyFill="1" applyBorder="1" applyAlignment="1">
      <alignment horizontal="center"/>
    </xf>
    <xf numFmtId="0" fontId="0" fillId="15" borderId="8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9" fillId="15" borderId="1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style val="4"/>
  <c:chart>
    <c:title>
      <c:tx>
        <c:rich>
          <a:bodyPr/>
          <a:lstStyle/>
          <a:p>
            <a:pPr>
              <a:defRPr/>
            </a:pPr>
            <a:r>
              <a:rPr lang="en-US"/>
              <a:t>Scarico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Data!$I$2</c:f>
              <c:strCache>
                <c:ptCount val="1"/>
                <c:pt idx="0">
                  <c:v>Scarico</c:v>
                </c:pt>
              </c:strCache>
            </c:strRef>
          </c:tx>
          <c:cat>
            <c:numRef>
              <c:f>Data!$H$3:$H$722</c:f>
              <c:numCache>
                <c:formatCode>General</c:formatCode>
                <c:ptCount val="720"/>
                <c:pt idx="0">
                  <c:v>-360</c:v>
                </c:pt>
                <c:pt idx="1">
                  <c:v>-359</c:v>
                </c:pt>
                <c:pt idx="2">
                  <c:v>-358</c:v>
                </c:pt>
                <c:pt idx="3">
                  <c:v>-357</c:v>
                </c:pt>
                <c:pt idx="4">
                  <c:v>-356</c:v>
                </c:pt>
                <c:pt idx="5">
                  <c:v>-355</c:v>
                </c:pt>
                <c:pt idx="6">
                  <c:v>-354</c:v>
                </c:pt>
                <c:pt idx="7">
                  <c:v>-353</c:v>
                </c:pt>
                <c:pt idx="8">
                  <c:v>-352</c:v>
                </c:pt>
                <c:pt idx="9">
                  <c:v>-351</c:v>
                </c:pt>
                <c:pt idx="10">
                  <c:v>-350</c:v>
                </c:pt>
                <c:pt idx="11">
                  <c:v>-349</c:v>
                </c:pt>
                <c:pt idx="12">
                  <c:v>-348</c:v>
                </c:pt>
                <c:pt idx="13">
                  <c:v>-347</c:v>
                </c:pt>
                <c:pt idx="14">
                  <c:v>-346</c:v>
                </c:pt>
                <c:pt idx="15">
                  <c:v>-345</c:v>
                </c:pt>
                <c:pt idx="16">
                  <c:v>-344</c:v>
                </c:pt>
                <c:pt idx="17">
                  <c:v>-343</c:v>
                </c:pt>
                <c:pt idx="18">
                  <c:v>-342</c:v>
                </c:pt>
                <c:pt idx="19">
                  <c:v>-341</c:v>
                </c:pt>
                <c:pt idx="20">
                  <c:v>-340</c:v>
                </c:pt>
                <c:pt idx="21">
                  <c:v>-339</c:v>
                </c:pt>
                <c:pt idx="22">
                  <c:v>-338</c:v>
                </c:pt>
                <c:pt idx="23">
                  <c:v>-337</c:v>
                </c:pt>
                <c:pt idx="24">
                  <c:v>-336</c:v>
                </c:pt>
                <c:pt idx="25">
                  <c:v>-335</c:v>
                </c:pt>
                <c:pt idx="26">
                  <c:v>-334</c:v>
                </c:pt>
                <c:pt idx="27">
                  <c:v>-333</c:v>
                </c:pt>
                <c:pt idx="28">
                  <c:v>-332</c:v>
                </c:pt>
                <c:pt idx="29">
                  <c:v>-331</c:v>
                </c:pt>
                <c:pt idx="30">
                  <c:v>-330</c:v>
                </c:pt>
                <c:pt idx="31">
                  <c:v>-329</c:v>
                </c:pt>
                <c:pt idx="32">
                  <c:v>-328</c:v>
                </c:pt>
                <c:pt idx="33">
                  <c:v>-327</c:v>
                </c:pt>
                <c:pt idx="34">
                  <c:v>-326</c:v>
                </c:pt>
                <c:pt idx="35">
                  <c:v>-325</c:v>
                </c:pt>
                <c:pt idx="36">
                  <c:v>-324</c:v>
                </c:pt>
                <c:pt idx="37">
                  <c:v>-323</c:v>
                </c:pt>
                <c:pt idx="38">
                  <c:v>-322</c:v>
                </c:pt>
                <c:pt idx="39">
                  <c:v>-321</c:v>
                </c:pt>
                <c:pt idx="40">
                  <c:v>-320</c:v>
                </c:pt>
                <c:pt idx="41">
                  <c:v>-319</c:v>
                </c:pt>
                <c:pt idx="42">
                  <c:v>-318</c:v>
                </c:pt>
                <c:pt idx="43">
                  <c:v>-317</c:v>
                </c:pt>
                <c:pt idx="44">
                  <c:v>-316</c:v>
                </c:pt>
                <c:pt idx="45">
                  <c:v>-315</c:v>
                </c:pt>
                <c:pt idx="46">
                  <c:v>-314</c:v>
                </c:pt>
                <c:pt idx="47">
                  <c:v>-313</c:v>
                </c:pt>
                <c:pt idx="48">
                  <c:v>-312</c:v>
                </c:pt>
                <c:pt idx="49">
                  <c:v>-311</c:v>
                </c:pt>
                <c:pt idx="50">
                  <c:v>-310</c:v>
                </c:pt>
                <c:pt idx="51">
                  <c:v>-309</c:v>
                </c:pt>
                <c:pt idx="52">
                  <c:v>-308</c:v>
                </c:pt>
                <c:pt idx="53">
                  <c:v>-307</c:v>
                </c:pt>
                <c:pt idx="54">
                  <c:v>-306</c:v>
                </c:pt>
                <c:pt idx="55">
                  <c:v>-305</c:v>
                </c:pt>
                <c:pt idx="56">
                  <c:v>-304</c:v>
                </c:pt>
                <c:pt idx="57">
                  <c:v>-303</c:v>
                </c:pt>
                <c:pt idx="58">
                  <c:v>-302</c:v>
                </c:pt>
                <c:pt idx="59">
                  <c:v>-301</c:v>
                </c:pt>
                <c:pt idx="60">
                  <c:v>-300</c:v>
                </c:pt>
                <c:pt idx="61">
                  <c:v>-299</c:v>
                </c:pt>
                <c:pt idx="62">
                  <c:v>-298</c:v>
                </c:pt>
                <c:pt idx="63">
                  <c:v>-297</c:v>
                </c:pt>
                <c:pt idx="64">
                  <c:v>-296</c:v>
                </c:pt>
                <c:pt idx="65">
                  <c:v>-295</c:v>
                </c:pt>
                <c:pt idx="66">
                  <c:v>-294</c:v>
                </c:pt>
                <c:pt idx="67">
                  <c:v>-293</c:v>
                </c:pt>
                <c:pt idx="68">
                  <c:v>-292</c:v>
                </c:pt>
                <c:pt idx="69">
                  <c:v>-291</c:v>
                </c:pt>
                <c:pt idx="70">
                  <c:v>-290</c:v>
                </c:pt>
                <c:pt idx="71">
                  <c:v>-289</c:v>
                </c:pt>
                <c:pt idx="72">
                  <c:v>-288</c:v>
                </c:pt>
                <c:pt idx="73">
                  <c:v>-287</c:v>
                </c:pt>
                <c:pt idx="74">
                  <c:v>-286</c:v>
                </c:pt>
                <c:pt idx="75">
                  <c:v>-285</c:v>
                </c:pt>
                <c:pt idx="76">
                  <c:v>-284</c:v>
                </c:pt>
                <c:pt idx="77">
                  <c:v>-283</c:v>
                </c:pt>
                <c:pt idx="78">
                  <c:v>-282</c:v>
                </c:pt>
                <c:pt idx="79">
                  <c:v>-281</c:v>
                </c:pt>
                <c:pt idx="80">
                  <c:v>-280</c:v>
                </c:pt>
                <c:pt idx="81">
                  <c:v>-279</c:v>
                </c:pt>
                <c:pt idx="82">
                  <c:v>-278</c:v>
                </c:pt>
                <c:pt idx="83">
                  <c:v>-277</c:v>
                </c:pt>
                <c:pt idx="84">
                  <c:v>-276</c:v>
                </c:pt>
                <c:pt idx="85">
                  <c:v>-275</c:v>
                </c:pt>
                <c:pt idx="86">
                  <c:v>-274</c:v>
                </c:pt>
                <c:pt idx="87">
                  <c:v>-273</c:v>
                </c:pt>
                <c:pt idx="88">
                  <c:v>-272</c:v>
                </c:pt>
                <c:pt idx="89">
                  <c:v>-271</c:v>
                </c:pt>
                <c:pt idx="90">
                  <c:v>-270</c:v>
                </c:pt>
                <c:pt idx="91">
                  <c:v>-269</c:v>
                </c:pt>
                <c:pt idx="92">
                  <c:v>-268</c:v>
                </c:pt>
                <c:pt idx="93">
                  <c:v>-267</c:v>
                </c:pt>
                <c:pt idx="94">
                  <c:v>-266</c:v>
                </c:pt>
                <c:pt idx="95">
                  <c:v>-265</c:v>
                </c:pt>
                <c:pt idx="96">
                  <c:v>-264</c:v>
                </c:pt>
                <c:pt idx="97">
                  <c:v>-263</c:v>
                </c:pt>
                <c:pt idx="98">
                  <c:v>-262</c:v>
                </c:pt>
                <c:pt idx="99">
                  <c:v>-261</c:v>
                </c:pt>
                <c:pt idx="100">
                  <c:v>-260</c:v>
                </c:pt>
                <c:pt idx="101">
                  <c:v>-259</c:v>
                </c:pt>
                <c:pt idx="102">
                  <c:v>-258</c:v>
                </c:pt>
                <c:pt idx="103">
                  <c:v>-257</c:v>
                </c:pt>
                <c:pt idx="104">
                  <c:v>-256</c:v>
                </c:pt>
                <c:pt idx="105">
                  <c:v>-255</c:v>
                </c:pt>
                <c:pt idx="106">
                  <c:v>-254</c:v>
                </c:pt>
                <c:pt idx="107">
                  <c:v>-253</c:v>
                </c:pt>
                <c:pt idx="108">
                  <c:v>-252</c:v>
                </c:pt>
                <c:pt idx="109">
                  <c:v>-251</c:v>
                </c:pt>
                <c:pt idx="110">
                  <c:v>-250</c:v>
                </c:pt>
                <c:pt idx="111">
                  <c:v>-249</c:v>
                </c:pt>
                <c:pt idx="112">
                  <c:v>-248</c:v>
                </c:pt>
                <c:pt idx="113">
                  <c:v>-247</c:v>
                </c:pt>
                <c:pt idx="114">
                  <c:v>-246</c:v>
                </c:pt>
                <c:pt idx="115">
                  <c:v>-245</c:v>
                </c:pt>
                <c:pt idx="116">
                  <c:v>-244</c:v>
                </c:pt>
                <c:pt idx="117">
                  <c:v>-243</c:v>
                </c:pt>
                <c:pt idx="118">
                  <c:v>-242</c:v>
                </c:pt>
                <c:pt idx="119">
                  <c:v>-241</c:v>
                </c:pt>
                <c:pt idx="120">
                  <c:v>-240</c:v>
                </c:pt>
                <c:pt idx="121">
                  <c:v>-239</c:v>
                </c:pt>
                <c:pt idx="122">
                  <c:v>-238</c:v>
                </c:pt>
                <c:pt idx="123">
                  <c:v>-237</c:v>
                </c:pt>
                <c:pt idx="124">
                  <c:v>-236</c:v>
                </c:pt>
                <c:pt idx="125">
                  <c:v>-235</c:v>
                </c:pt>
                <c:pt idx="126">
                  <c:v>-234</c:v>
                </c:pt>
                <c:pt idx="127">
                  <c:v>-233</c:v>
                </c:pt>
                <c:pt idx="128">
                  <c:v>-232</c:v>
                </c:pt>
                <c:pt idx="129">
                  <c:v>-231</c:v>
                </c:pt>
                <c:pt idx="130">
                  <c:v>-230</c:v>
                </c:pt>
                <c:pt idx="131">
                  <c:v>-229</c:v>
                </c:pt>
                <c:pt idx="132">
                  <c:v>-228</c:v>
                </c:pt>
                <c:pt idx="133">
                  <c:v>-227</c:v>
                </c:pt>
                <c:pt idx="134">
                  <c:v>-226</c:v>
                </c:pt>
                <c:pt idx="135">
                  <c:v>-225</c:v>
                </c:pt>
                <c:pt idx="136">
                  <c:v>-224</c:v>
                </c:pt>
                <c:pt idx="137">
                  <c:v>-223</c:v>
                </c:pt>
                <c:pt idx="138">
                  <c:v>-222</c:v>
                </c:pt>
                <c:pt idx="139">
                  <c:v>-221</c:v>
                </c:pt>
                <c:pt idx="140">
                  <c:v>-220</c:v>
                </c:pt>
                <c:pt idx="141">
                  <c:v>-219</c:v>
                </c:pt>
                <c:pt idx="142">
                  <c:v>-218</c:v>
                </c:pt>
                <c:pt idx="143">
                  <c:v>-217</c:v>
                </c:pt>
                <c:pt idx="144">
                  <c:v>-216</c:v>
                </c:pt>
                <c:pt idx="145">
                  <c:v>-215</c:v>
                </c:pt>
                <c:pt idx="146">
                  <c:v>-214</c:v>
                </c:pt>
                <c:pt idx="147">
                  <c:v>-213</c:v>
                </c:pt>
                <c:pt idx="148">
                  <c:v>-212</c:v>
                </c:pt>
                <c:pt idx="149">
                  <c:v>-211</c:v>
                </c:pt>
                <c:pt idx="150">
                  <c:v>-210</c:v>
                </c:pt>
                <c:pt idx="151">
                  <c:v>-209</c:v>
                </c:pt>
                <c:pt idx="152">
                  <c:v>-208</c:v>
                </c:pt>
                <c:pt idx="153">
                  <c:v>-207</c:v>
                </c:pt>
                <c:pt idx="154">
                  <c:v>-206</c:v>
                </c:pt>
                <c:pt idx="155">
                  <c:v>-205</c:v>
                </c:pt>
                <c:pt idx="156">
                  <c:v>-204</c:v>
                </c:pt>
                <c:pt idx="157">
                  <c:v>-203</c:v>
                </c:pt>
                <c:pt idx="158">
                  <c:v>-202</c:v>
                </c:pt>
                <c:pt idx="159">
                  <c:v>-201</c:v>
                </c:pt>
                <c:pt idx="160">
                  <c:v>-200</c:v>
                </c:pt>
                <c:pt idx="161">
                  <c:v>-199</c:v>
                </c:pt>
                <c:pt idx="162">
                  <c:v>-198</c:v>
                </c:pt>
                <c:pt idx="163">
                  <c:v>-197</c:v>
                </c:pt>
                <c:pt idx="164">
                  <c:v>-196</c:v>
                </c:pt>
                <c:pt idx="165">
                  <c:v>-195</c:v>
                </c:pt>
                <c:pt idx="166">
                  <c:v>-194</c:v>
                </c:pt>
                <c:pt idx="167">
                  <c:v>-193</c:v>
                </c:pt>
                <c:pt idx="168">
                  <c:v>-192</c:v>
                </c:pt>
                <c:pt idx="169">
                  <c:v>-191</c:v>
                </c:pt>
                <c:pt idx="170">
                  <c:v>-190</c:v>
                </c:pt>
                <c:pt idx="171">
                  <c:v>-189</c:v>
                </c:pt>
                <c:pt idx="172">
                  <c:v>-188</c:v>
                </c:pt>
                <c:pt idx="173">
                  <c:v>-187</c:v>
                </c:pt>
                <c:pt idx="174">
                  <c:v>-186</c:v>
                </c:pt>
                <c:pt idx="175">
                  <c:v>-185</c:v>
                </c:pt>
                <c:pt idx="176">
                  <c:v>-184</c:v>
                </c:pt>
                <c:pt idx="177">
                  <c:v>-183</c:v>
                </c:pt>
                <c:pt idx="178">
                  <c:v>-182</c:v>
                </c:pt>
                <c:pt idx="179">
                  <c:v>-181</c:v>
                </c:pt>
                <c:pt idx="180">
                  <c:v>-180</c:v>
                </c:pt>
                <c:pt idx="181">
                  <c:v>-179</c:v>
                </c:pt>
                <c:pt idx="182">
                  <c:v>-178</c:v>
                </c:pt>
                <c:pt idx="183">
                  <c:v>-177</c:v>
                </c:pt>
                <c:pt idx="184">
                  <c:v>-176</c:v>
                </c:pt>
                <c:pt idx="185">
                  <c:v>-175</c:v>
                </c:pt>
                <c:pt idx="186">
                  <c:v>-174</c:v>
                </c:pt>
                <c:pt idx="187">
                  <c:v>-173</c:v>
                </c:pt>
                <c:pt idx="188">
                  <c:v>-172</c:v>
                </c:pt>
                <c:pt idx="189">
                  <c:v>-171</c:v>
                </c:pt>
                <c:pt idx="190">
                  <c:v>-170</c:v>
                </c:pt>
                <c:pt idx="191">
                  <c:v>-169</c:v>
                </c:pt>
                <c:pt idx="192">
                  <c:v>-168</c:v>
                </c:pt>
                <c:pt idx="193">
                  <c:v>-167</c:v>
                </c:pt>
                <c:pt idx="194">
                  <c:v>-166</c:v>
                </c:pt>
                <c:pt idx="195">
                  <c:v>-165</c:v>
                </c:pt>
                <c:pt idx="196">
                  <c:v>-164</c:v>
                </c:pt>
                <c:pt idx="197">
                  <c:v>-163</c:v>
                </c:pt>
                <c:pt idx="198">
                  <c:v>-162</c:v>
                </c:pt>
                <c:pt idx="199">
                  <c:v>-161</c:v>
                </c:pt>
                <c:pt idx="200">
                  <c:v>-160</c:v>
                </c:pt>
                <c:pt idx="201">
                  <c:v>-159</c:v>
                </c:pt>
                <c:pt idx="202">
                  <c:v>-158</c:v>
                </c:pt>
                <c:pt idx="203">
                  <c:v>-157</c:v>
                </c:pt>
                <c:pt idx="204">
                  <c:v>-156</c:v>
                </c:pt>
                <c:pt idx="205">
                  <c:v>-155</c:v>
                </c:pt>
                <c:pt idx="206">
                  <c:v>-154</c:v>
                </c:pt>
                <c:pt idx="207">
                  <c:v>-153</c:v>
                </c:pt>
                <c:pt idx="208">
                  <c:v>-152</c:v>
                </c:pt>
                <c:pt idx="209">
                  <c:v>-151</c:v>
                </c:pt>
                <c:pt idx="210">
                  <c:v>-150</c:v>
                </c:pt>
                <c:pt idx="211">
                  <c:v>-149</c:v>
                </c:pt>
                <c:pt idx="212">
                  <c:v>-148</c:v>
                </c:pt>
                <c:pt idx="213">
                  <c:v>-147</c:v>
                </c:pt>
                <c:pt idx="214">
                  <c:v>-146</c:v>
                </c:pt>
                <c:pt idx="215">
                  <c:v>-145</c:v>
                </c:pt>
                <c:pt idx="216">
                  <c:v>-144</c:v>
                </c:pt>
                <c:pt idx="217">
                  <c:v>-143</c:v>
                </c:pt>
                <c:pt idx="218">
                  <c:v>-142</c:v>
                </c:pt>
                <c:pt idx="219">
                  <c:v>-141</c:v>
                </c:pt>
                <c:pt idx="220">
                  <c:v>-140</c:v>
                </c:pt>
                <c:pt idx="221">
                  <c:v>-139</c:v>
                </c:pt>
                <c:pt idx="222">
                  <c:v>-138</c:v>
                </c:pt>
                <c:pt idx="223">
                  <c:v>-137</c:v>
                </c:pt>
                <c:pt idx="224">
                  <c:v>-136</c:v>
                </c:pt>
                <c:pt idx="225">
                  <c:v>-135</c:v>
                </c:pt>
                <c:pt idx="226">
                  <c:v>-134</c:v>
                </c:pt>
                <c:pt idx="227">
                  <c:v>-133</c:v>
                </c:pt>
                <c:pt idx="228">
                  <c:v>-132</c:v>
                </c:pt>
                <c:pt idx="229">
                  <c:v>-131</c:v>
                </c:pt>
                <c:pt idx="230">
                  <c:v>-130</c:v>
                </c:pt>
                <c:pt idx="231">
                  <c:v>-129</c:v>
                </c:pt>
                <c:pt idx="232">
                  <c:v>-128</c:v>
                </c:pt>
                <c:pt idx="233">
                  <c:v>-127</c:v>
                </c:pt>
                <c:pt idx="234">
                  <c:v>-126</c:v>
                </c:pt>
                <c:pt idx="235">
                  <c:v>-125</c:v>
                </c:pt>
                <c:pt idx="236">
                  <c:v>-124</c:v>
                </c:pt>
                <c:pt idx="237">
                  <c:v>-123</c:v>
                </c:pt>
                <c:pt idx="238">
                  <c:v>-122</c:v>
                </c:pt>
                <c:pt idx="239">
                  <c:v>-121</c:v>
                </c:pt>
                <c:pt idx="240">
                  <c:v>-120</c:v>
                </c:pt>
                <c:pt idx="241">
                  <c:v>-119</c:v>
                </c:pt>
                <c:pt idx="242">
                  <c:v>-118</c:v>
                </c:pt>
                <c:pt idx="243">
                  <c:v>-117</c:v>
                </c:pt>
                <c:pt idx="244">
                  <c:v>-116</c:v>
                </c:pt>
                <c:pt idx="245">
                  <c:v>-115</c:v>
                </c:pt>
                <c:pt idx="246">
                  <c:v>-114</c:v>
                </c:pt>
                <c:pt idx="247">
                  <c:v>-113</c:v>
                </c:pt>
                <c:pt idx="248">
                  <c:v>-112</c:v>
                </c:pt>
                <c:pt idx="249">
                  <c:v>-111</c:v>
                </c:pt>
                <c:pt idx="250">
                  <c:v>-110</c:v>
                </c:pt>
                <c:pt idx="251">
                  <c:v>-109</c:v>
                </c:pt>
                <c:pt idx="252">
                  <c:v>-108</c:v>
                </c:pt>
                <c:pt idx="253">
                  <c:v>-107</c:v>
                </c:pt>
                <c:pt idx="254">
                  <c:v>-106</c:v>
                </c:pt>
                <c:pt idx="255">
                  <c:v>-105</c:v>
                </c:pt>
                <c:pt idx="256">
                  <c:v>-104</c:v>
                </c:pt>
                <c:pt idx="257">
                  <c:v>-103</c:v>
                </c:pt>
                <c:pt idx="258">
                  <c:v>-102</c:v>
                </c:pt>
                <c:pt idx="259">
                  <c:v>-101</c:v>
                </c:pt>
                <c:pt idx="260">
                  <c:v>-100</c:v>
                </c:pt>
                <c:pt idx="261">
                  <c:v>-99</c:v>
                </c:pt>
                <c:pt idx="262">
                  <c:v>-98</c:v>
                </c:pt>
                <c:pt idx="263">
                  <c:v>-97</c:v>
                </c:pt>
                <c:pt idx="264">
                  <c:v>-96</c:v>
                </c:pt>
                <c:pt idx="265">
                  <c:v>-95</c:v>
                </c:pt>
                <c:pt idx="266">
                  <c:v>-94</c:v>
                </c:pt>
                <c:pt idx="267">
                  <c:v>-93</c:v>
                </c:pt>
                <c:pt idx="268">
                  <c:v>-92</c:v>
                </c:pt>
                <c:pt idx="269">
                  <c:v>-91</c:v>
                </c:pt>
                <c:pt idx="270">
                  <c:v>-90</c:v>
                </c:pt>
                <c:pt idx="271">
                  <c:v>-89</c:v>
                </c:pt>
                <c:pt idx="272">
                  <c:v>-88</c:v>
                </c:pt>
                <c:pt idx="273">
                  <c:v>-87</c:v>
                </c:pt>
                <c:pt idx="274">
                  <c:v>-86</c:v>
                </c:pt>
                <c:pt idx="275">
                  <c:v>-85</c:v>
                </c:pt>
                <c:pt idx="276">
                  <c:v>-84</c:v>
                </c:pt>
                <c:pt idx="277">
                  <c:v>-83</c:v>
                </c:pt>
                <c:pt idx="278">
                  <c:v>-82</c:v>
                </c:pt>
                <c:pt idx="279">
                  <c:v>-81</c:v>
                </c:pt>
                <c:pt idx="280">
                  <c:v>-80</c:v>
                </c:pt>
                <c:pt idx="281">
                  <c:v>-79</c:v>
                </c:pt>
                <c:pt idx="282">
                  <c:v>-78</c:v>
                </c:pt>
                <c:pt idx="283">
                  <c:v>-77</c:v>
                </c:pt>
                <c:pt idx="284">
                  <c:v>-76</c:v>
                </c:pt>
                <c:pt idx="285">
                  <c:v>-75</c:v>
                </c:pt>
                <c:pt idx="286">
                  <c:v>-74</c:v>
                </c:pt>
                <c:pt idx="287">
                  <c:v>-73</c:v>
                </c:pt>
                <c:pt idx="288">
                  <c:v>-72</c:v>
                </c:pt>
                <c:pt idx="289">
                  <c:v>-71</c:v>
                </c:pt>
                <c:pt idx="290">
                  <c:v>-70</c:v>
                </c:pt>
                <c:pt idx="291">
                  <c:v>-69</c:v>
                </c:pt>
                <c:pt idx="292">
                  <c:v>-68</c:v>
                </c:pt>
                <c:pt idx="293">
                  <c:v>-67</c:v>
                </c:pt>
                <c:pt idx="294">
                  <c:v>-66</c:v>
                </c:pt>
                <c:pt idx="295">
                  <c:v>-65</c:v>
                </c:pt>
                <c:pt idx="296">
                  <c:v>-64</c:v>
                </c:pt>
                <c:pt idx="297">
                  <c:v>-63</c:v>
                </c:pt>
                <c:pt idx="298">
                  <c:v>-62</c:v>
                </c:pt>
                <c:pt idx="299">
                  <c:v>-61</c:v>
                </c:pt>
                <c:pt idx="300">
                  <c:v>-60</c:v>
                </c:pt>
                <c:pt idx="301">
                  <c:v>-59</c:v>
                </c:pt>
                <c:pt idx="302">
                  <c:v>-58</c:v>
                </c:pt>
                <c:pt idx="303">
                  <c:v>-57</c:v>
                </c:pt>
                <c:pt idx="304">
                  <c:v>-56</c:v>
                </c:pt>
                <c:pt idx="305">
                  <c:v>-55</c:v>
                </c:pt>
                <c:pt idx="306">
                  <c:v>-54</c:v>
                </c:pt>
                <c:pt idx="307">
                  <c:v>-53</c:v>
                </c:pt>
                <c:pt idx="308">
                  <c:v>-52</c:v>
                </c:pt>
                <c:pt idx="309">
                  <c:v>-51</c:v>
                </c:pt>
                <c:pt idx="310">
                  <c:v>-50</c:v>
                </c:pt>
                <c:pt idx="311">
                  <c:v>-49</c:v>
                </c:pt>
                <c:pt idx="312">
                  <c:v>-48</c:v>
                </c:pt>
                <c:pt idx="313">
                  <c:v>-47</c:v>
                </c:pt>
                <c:pt idx="314">
                  <c:v>-46</c:v>
                </c:pt>
                <c:pt idx="315">
                  <c:v>-45</c:v>
                </c:pt>
                <c:pt idx="316">
                  <c:v>-44</c:v>
                </c:pt>
                <c:pt idx="317">
                  <c:v>-43</c:v>
                </c:pt>
                <c:pt idx="318">
                  <c:v>-42</c:v>
                </c:pt>
                <c:pt idx="319">
                  <c:v>-41</c:v>
                </c:pt>
                <c:pt idx="320">
                  <c:v>-40</c:v>
                </c:pt>
                <c:pt idx="321">
                  <c:v>-39</c:v>
                </c:pt>
                <c:pt idx="322">
                  <c:v>-38</c:v>
                </c:pt>
                <c:pt idx="323">
                  <c:v>-37</c:v>
                </c:pt>
                <c:pt idx="324">
                  <c:v>-36</c:v>
                </c:pt>
                <c:pt idx="325">
                  <c:v>-35</c:v>
                </c:pt>
                <c:pt idx="326">
                  <c:v>-34</c:v>
                </c:pt>
                <c:pt idx="327">
                  <c:v>-33</c:v>
                </c:pt>
                <c:pt idx="328">
                  <c:v>-32</c:v>
                </c:pt>
                <c:pt idx="329">
                  <c:v>-31</c:v>
                </c:pt>
                <c:pt idx="330">
                  <c:v>-30</c:v>
                </c:pt>
                <c:pt idx="331">
                  <c:v>-29</c:v>
                </c:pt>
                <c:pt idx="332">
                  <c:v>-28</c:v>
                </c:pt>
                <c:pt idx="333">
                  <c:v>-27</c:v>
                </c:pt>
                <c:pt idx="334">
                  <c:v>-26</c:v>
                </c:pt>
                <c:pt idx="335">
                  <c:v>-25</c:v>
                </c:pt>
                <c:pt idx="336">
                  <c:v>-24</c:v>
                </c:pt>
                <c:pt idx="337">
                  <c:v>-23</c:v>
                </c:pt>
                <c:pt idx="338">
                  <c:v>-22</c:v>
                </c:pt>
                <c:pt idx="339">
                  <c:v>-21</c:v>
                </c:pt>
                <c:pt idx="340">
                  <c:v>-20</c:v>
                </c:pt>
                <c:pt idx="341">
                  <c:v>-19</c:v>
                </c:pt>
                <c:pt idx="342">
                  <c:v>-18</c:v>
                </c:pt>
                <c:pt idx="343">
                  <c:v>-17</c:v>
                </c:pt>
                <c:pt idx="344">
                  <c:v>-16</c:v>
                </c:pt>
                <c:pt idx="345">
                  <c:v>-15</c:v>
                </c:pt>
                <c:pt idx="346">
                  <c:v>-14</c:v>
                </c:pt>
                <c:pt idx="347">
                  <c:v>-13</c:v>
                </c:pt>
                <c:pt idx="348">
                  <c:v>-12</c:v>
                </c:pt>
                <c:pt idx="349">
                  <c:v>-11</c:v>
                </c:pt>
                <c:pt idx="350">
                  <c:v>-10</c:v>
                </c:pt>
                <c:pt idx="351">
                  <c:v>-9</c:v>
                </c:pt>
                <c:pt idx="352">
                  <c:v>-8</c:v>
                </c:pt>
                <c:pt idx="353">
                  <c:v>-7</c:v>
                </c:pt>
                <c:pt idx="354">
                  <c:v>-6</c:v>
                </c:pt>
                <c:pt idx="355">
                  <c:v>-5</c:v>
                </c:pt>
                <c:pt idx="356">
                  <c:v>-4</c:v>
                </c:pt>
                <c:pt idx="357">
                  <c:v>-3</c:v>
                </c:pt>
                <c:pt idx="358">
                  <c:v>-2</c:v>
                </c:pt>
                <c:pt idx="359">
                  <c:v>-1</c:v>
                </c:pt>
                <c:pt idx="360">
                  <c:v>0</c:v>
                </c:pt>
                <c:pt idx="361">
                  <c:v>1</c:v>
                </c:pt>
                <c:pt idx="362">
                  <c:v>2</c:v>
                </c:pt>
                <c:pt idx="363">
                  <c:v>3</c:v>
                </c:pt>
                <c:pt idx="364">
                  <c:v>4</c:v>
                </c:pt>
                <c:pt idx="365">
                  <c:v>5</c:v>
                </c:pt>
                <c:pt idx="366">
                  <c:v>6</c:v>
                </c:pt>
                <c:pt idx="367">
                  <c:v>7</c:v>
                </c:pt>
                <c:pt idx="368">
                  <c:v>8</c:v>
                </c:pt>
                <c:pt idx="369">
                  <c:v>9</c:v>
                </c:pt>
                <c:pt idx="370">
                  <c:v>10</c:v>
                </c:pt>
                <c:pt idx="371">
                  <c:v>11</c:v>
                </c:pt>
                <c:pt idx="372">
                  <c:v>12</c:v>
                </c:pt>
                <c:pt idx="373">
                  <c:v>13</c:v>
                </c:pt>
                <c:pt idx="374">
                  <c:v>14</c:v>
                </c:pt>
                <c:pt idx="375">
                  <c:v>15</c:v>
                </c:pt>
                <c:pt idx="376">
                  <c:v>16</c:v>
                </c:pt>
                <c:pt idx="377">
                  <c:v>17</c:v>
                </c:pt>
                <c:pt idx="378">
                  <c:v>18</c:v>
                </c:pt>
                <c:pt idx="379">
                  <c:v>19</c:v>
                </c:pt>
                <c:pt idx="380">
                  <c:v>20</c:v>
                </c:pt>
                <c:pt idx="381">
                  <c:v>21</c:v>
                </c:pt>
                <c:pt idx="382">
                  <c:v>22</c:v>
                </c:pt>
                <c:pt idx="383">
                  <c:v>23</c:v>
                </c:pt>
                <c:pt idx="384">
                  <c:v>24</c:v>
                </c:pt>
                <c:pt idx="385">
                  <c:v>25</c:v>
                </c:pt>
                <c:pt idx="386">
                  <c:v>26</c:v>
                </c:pt>
                <c:pt idx="387">
                  <c:v>27</c:v>
                </c:pt>
                <c:pt idx="388">
                  <c:v>28</c:v>
                </c:pt>
                <c:pt idx="389">
                  <c:v>29</c:v>
                </c:pt>
                <c:pt idx="390">
                  <c:v>30</c:v>
                </c:pt>
                <c:pt idx="391">
                  <c:v>31</c:v>
                </c:pt>
                <c:pt idx="392">
                  <c:v>32</c:v>
                </c:pt>
                <c:pt idx="393">
                  <c:v>33</c:v>
                </c:pt>
                <c:pt idx="394">
                  <c:v>34</c:v>
                </c:pt>
                <c:pt idx="395">
                  <c:v>35</c:v>
                </c:pt>
                <c:pt idx="396">
                  <c:v>36</c:v>
                </c:pt>
                <c:pt idx="397">
                  <c:v>37</c:v>
                </c:pt>
                <c:pt idx="398">
                  <c:v>38</c:v>
                </c:pt>
                <c:pt idx="399">
                  <c:v>39</c:v>
                </c:pt>
                <c:pt idx="400">
                  <c:v>40</c:v>
                </c:pt>
                <c:pt idx="401">
                  <c:v>41</c:v>
                </c:pt>
                <c:pt idx="402">
                  <c:v>42</c:v>
                </c:pt>
                <c:pt idx="403">
                  <c:v>43</c:v>
                </c:pt>
                <c:pt idx="404">
                  <c:v>44</c:v>
                </c:pt>
                <c:pt idx="405">
                  <c:v>45</c:v>
                </c:pt>
                <c:pt idx="406">
                  <c:v>46</c:v>
                </c:pt>
                <c:pt idx="407">
                  <c:v>47</c:v>
                </c:pt>
                <c:pt idx="408">
                  <c:v>48</c:v>
                </c:pt>
                <c:pt idx="409">
                  <c:v>49</c:v>
                </c:pt>
                <c:pt idx="410">
                  <c:v>50</c:v>
                </c:pt>
                <c:pt idx="411">
                  <c:v>51</c:v>
                </c:pt>
                <c:pt idx="412">
                  <c:v>52</c:v>
                </c:pt>
                <c:pt idx="413">
                  <c:v>53</c:v>
                </c:pt>
                <c:pt idx="414">
                  <c:v>54</c:v>
                </c:pt>
                <c:pt idx="415">
                  <c:v>55</c:v>
                </c:pt>
                <c:pt idx="416">
                  <c:v>56</c:v>
                </c:pt>
                <c:pt idx="417">
                  <c:v>57</c:v>
                </c:pt>
                <c:pt idx="418">
                  <c:v>58</c:v>
                </c:pt>
                <c:pt idx="419">
                  <c:v>59</c:v>
                </c:pt>
                <c:pt idx="420">
                  <c:v>60</c:v>
                </c:pt>
                <c:pt idx="421">
                  <c:v>61</c:v>
                </c:pt>
                <c:pt idx="422">
                  <c:v>62</c:v>
                </c:pt>
                <c:pt idx="423">
                  <c:v>63</c:v>
                </c:pt>
                <c:pt idx="424">
                  <c:v>64</c:v>
                </c:pt>
                <c:pt idx="425">
                  <c:v>65</c:v>
                </c:pt>
                <c:pt idx="426">
                  <c:v>66</c:v>
                </c:pt>
                <c:pt idx="427">
                  <c:v>67</c:v>
                </c:pt>
                <c:pt idx="428">
                  <c:v>68</c:v>
                </c:pt>
                <c:pt idx="429">
                  <c:v>69</c:v>
                </c:pt>
                <c:pt idx="430">
                  <c:v>70</c:v>
                </c:pt>
                <c:pt idx="431">
                  <c:v>71</c:v>
                </c:pt>
                <c:pt idx="432">
                  <c:v>72</c:v>
                </c:pt>
                <c:pt idx="433">
                  <c:v>73</c:v>
                </c:pt>
                <c:pt idx="434">
                  <c:v>74</c:v>
                </c:pt>
                <c:pt idx="435">
                  <c:v>75</c:v>
                </c:pt>
                <c:pt idx="436">
                  <c:v>76</c:v>
                </c:pt>
                <c:pt idx="437">
                  <c:v>77</c:v>
                </c:pt>
                <c:pt idx="438">
                  <c:v>78</c:v>
                </c:pt>
                <c:pt idx="439">
                  <c:v>79</c:v>
                </c:pt>
                <c:pt idx="440">
                  <c:v>80</c:v>
                </c:pt>
                <c:pt idx="441">
                  <c:v>81</c:v>
                </c:pt>
                <c:pt idx="442">
                  <c:v>82</c:v>
                </c:pt>
                <c:pt idx="443">
                  <c:v>83</c:v>
                </c:pt>
                <c:pt idx="444">
                  <c:v>84</c:v>
                </c:pt>
                <c:pt idx="445">
                  <c:v>85</c:v>
                </c:pt>
                <c:pt idx="446">
                  <c:v>86</c:v>
                </c:pt>
                <c:pt idx="447">
                  <c:v>87</c:v>
                </c:pt>
                <c:pt idx="448">
                  <c:v>88</c:v>
                </c:pt>
                <c:pt idx="449">
                  <c:v>89</c:v>
                </c:pt>
                <c:pt idx="450">
                  <c:v>90</c:v>
                </c:pt>
                <c:pt idx="451">
                  <c:v>91</c:v>
                </c:pt>
                <c:pt idx="452">
                  <c:v>92</c:v>
                </c:pt>
                <c:pt idx="453">
                  <c:v>93</c:v>
                </c:pt>
                <c:pt idx="454">
                  <c:v>94</c:v>
                </c:pt>
                <c:pt idx="455">
                  <c:v>95</c:v>
                </c:pt>
                <c:pt idx="456">
                  <c:v>96</c:v>
                </c:pt>
                <c:pt idx="457">
                  <c:v>97</c:v>
                </c:pt>
                <c:pt idx="458">
                  <c:v>98</c:v>
                </c:pt>
                <c:pt idx="459">
                  <c:v>99</c:v>
                </c:pt>
                <c:pt idx="460">
                  <c:v>100</c:v>
                </c:pt>
                <c:pt idx="461">
                  <c:v>101</c:v>
                </c:pt>
                <c:pt idx="462">
                  <c:v>102</c:v>
                </c:pt>
                <c:pt idx="463">
                  <c:v>103</c:v>
                </c:pt>
                <c:pt idx="464">
                  <c:v>104</c:v>
                </c:pt>
                <c:pt idx="465">
                  <c:v>105</c:v>
                </c:pt>
                <c:pt idx="466">
                  <c:v>106</c:v>
                </c:pt>
                <c:pt idx="467">
                  <c:v>107</c:v>
                </c:pt>
                <c:pt idx="468">
                  <c:v>108</c:v>
                </c:pt>
                <c:pt idx="469">
                  <c:v>109</c:v>
                </c:pt>
                <c:pt idx="470">
                  <c:v>110</c:v>
                </c:pt>
                <c:pt idx="471">
                  <c:v>111</c:v>
                </c:pt>
                <c:pt idx="472">
                  <c:v>112</c:v>
                </c:pt>
                <c:pt idx="473">
                  <c:v>113</c:v>
                </c:pt>
                <c:pt idx="474">
                  <c:v>114</c:v>
                </c:pt>
                <c:pt idx="475">
                  <c:v>115</c:v>
                </c:pt>
                <c:pt idx="476">
                  <c:v>116</c:v>
                </c:pt>
                <c:pt idx="477">
                  <c:v>117</c:v>
                </c:pt>
                <c:pt idx="478">
                  <c:v>118</c:v>
                </c:pt>
                <c:pt idx="479">
                  <c:v>119</c:v>
                </c:pt>
                <c:pt idx="480">
                  <c:v>120</c:v>
                </c:pt>
                <c:pt idx="481">
                  <c:v>121</c:v>
                </c:pt>
                <c:pt idx="482">
                  <c:v>122</c:v>
                </c:pt>
                <c:pt idx="483">
                  <c:v>123</c:v>
                </c:pt>
                <c:pt idx="484">
                  <c:v>124</c:v>
                </c:pt>
                <c:pt idx="485">
                  <c:v>125</c:v>
                </c:pt>
                <c:pt idx="486">
                  <c:v>126</c:v>
                </c:pt>
                <c:pt idx="487">
                  <c:v>127</c:v>
                </c:pt>
                <c:pt idx="488">
                  <c:v>128</c:v>
                </c:pt>
                <c:pt idx="489">
                  <c:v>129</c:v>
                </c:pt>
                <c:pt idx="490">
                  <c:v>130</c:v>
                </c:pt>
                <c:pt idx="491">
                  <c:v>131</c:v>
                </c:pt>
                <c:pt idx="492">
                  <c:v>132</c:v>
                </c:pt>
                <c:pt idx="493">
                  <c:v>133</c:v>
                </c:pt>
                <c:pt idx="494">
                  <c:v>134</c:v>
                </c:pt>
                <c:pt idx="495">
                  <c:v>135</c:v>
                </c:pt>
                <c:pt idx="496">
                  <c:v>136</c:v>
                </c:pt>
                <c:pt idx="497">
                  <c:v>137</c:v>
                </c:pt>
                <c:pt idx="498">
                  <c:v>138</c:v>
                </c:pt>
                <c:pt idx="499">
                  <c:v>139</c:v>
                </c:pt>
                <c:pt idx="500">
                  <c:v>140</c:v>
                </c:pt>
                <c:pt idx="501">
                  <c:v>141</c:v>
                </c:pt>
                <c:pt idx="502">
                  <c:v>142</c:v>
                </c:pt>
                <c:pt idx="503">
                  <c:v>143</c:v>
                </c:pt>
                <c:pt idx="504">
                  <c:v>144</c:v>
                </c:pt>
                <c:pt idx="505">
                  <c:v>145</c:v>
                </c:pt>
                <c:pt idx="506">
                  <c:v>146</c:v>
                </c:pt>
                <c:pt idx="507">
                  <c:v>147</c:v>
                </c:pt>
                <c:pt idx="508">
                  <c:v>148</c:v>
                </c:pt>
                <c:pt idx="509">
                  <c:v>149</c:v>
                </c:pt>
                <c:pt idx="510">
                  <c:v>150</c:v>
                </c:pt>
                <c:pt idx="511">
                  <c:v>151</c:v>
                </c:pt>
                <c:pt idx="512">
                  <c:v>152</c:v>
                </c:pt>
                <c:pt idx="513">
                  <c:v>153</c:v>
                </c:pt>
                <c:pt idx="514">
                  <c:v>154</c:v>
                </c:pt>
                <c:pt idx="515">
                  <c:v>155</c:v>
                </c:pt>
                <c:pt idx="516">
                  <c:v>156</c:v>
                </c:pt>
                <c:pt idx="517">
                  <c:v>157</c:v>
                </c:pt>
                <c:pt idx="518">
                  <c:v>158</c:v>
                </c:pt>
                <c:pt idx="519">
                  <c:v>159</c:v>
                </c:pt>
                <c:pt idx="520">
                  <c:v>160</c:v>
                </c:pt>
                <c:pt idx="521">
                  <c:v>161</c:v>
                </c:pt>
                <c:pt idx="522">
                  <c:v>162</c:v>
                </c:pt>
                <c:pt idx="523">
                  <c:v>163</c:v>
                </c:pt>
                <c:pt idx="524">
                  <c:v>164</c:v>
                </c:pt>
                <c:pt idx="525">
                  <c:v>165</c:v>
                </c:pt>
                <c:pt idx="526">
                  <c:v>166</c:v>
                </c:pt>
                <c:pt idx="527">
                  <c:v>167</c:v>
                </c:pt>
                <c:pt idx="528">
                  <c:v>168</c:v>
                </c:pt>
                <c:pt idx="529">
                  <c:v>169</c:v>
                </c:pt>
                <c:pt idx="530">
                  <c:v>170</c:v>
                </c:pt>
                <c:pt idx="531">
                  <c:v>171</c:v>
                </c:pt>
                <c:pt idx="532">
                  <c:v>172</c:v>
                </c:pt>
                <c:pt idx="533">
                  <c:v>173</c:v>
                </c:pt>
                <c:pt idx="534">
                  <c:v>174</c:v>
                </c:pt>
                <c:pt idx="535">
                  <c:v>175</c:v>
                </c:pt>
                <c:pt idx="536">
                  <c:v>176</c:v>
                </c:pt>
                <c:pt idx="537">
                  <c:v>177</c:v>
                </c:pt>
                <c:pt idx="538">
                  <c:v>178</c:v>
                </c:pt>
                <c:pt idx="539">
                  <c:v>179</c:v>
                </c:pt>
                <c:pt idx="540">
                  <c:v>180</c:v>
                </c:pt>
                <c:pt idx="541">
                  <c:v>181</c:v>
                </c:pt>
                <c:pt idx="542">
                  <c:v>182</c:v>
                </c:pt>
                <c:pt idx="543">
                  <c:v>183</c:v>
                </c:pt>
                <c:pt idx="544">
                  <c:v>184</c:v>
                </c:pt>
                <c:pt idx="545">
                  <c:v>185</c:v>
                </c:pt>
                <c:pt idx="546">
                  <c:v>186</c:v>
                </c:pt>
                <c:pt idx="547">
                  <c:v>187</c:v>
                </c:pt>
                <c:pt idx="548">
                  <c:v>188</c:v>
                </c:pt>
                <c:pt idx="549">
                  <c:v>189</c:v>
                </c:pt>
                <c:pt idx="550">
                  <c:v>190</c:v>
                </c:pt>
                <c:pt idx="551">
                  <c:v>191</c:v>
                </c:pt>
                <c:pt idx="552">
                  <c:v>192</c:v>
                </c:pt>
                <c:pt idx="553">
                  <c:v>193</c:v>
                </c:pt>
                <c:pt idx="554">
                  <c:v>194</c:v>
                </c:pt>
                <c:pt idx="555">
                  <c:v>195</c:v>
                </c:pt>
                <c:pt idx="556">
                  <c:v>196</c:v>
                </c:pt>
                <c:pt idx="557">
                  <c:v>197</c:v>
                </c:pt>
                <c:pt idx="558">
                  <c:v>198</c:v>
                </c:pt>
                <c:pt idx="559">
                  <c:v>199</c:v>
                </c:pt>
                <c:pt idx="560">
                  <c:v>200</c:v>
                </c:pt>
                <c:pt idx="561">
                  <c:v>201</c:v>
                </c:pt>
                <c:pt idx="562">
                  <c:v>202</c:v>
                </c:pt>
                <c:pt idx="563">
                  <c:v>203</c:v>
                </c:pt>
                <c:pt idx="564">
                  <c:v>204</c:v>
                </c:pt>
                <c:pt idx="565">
                  <c:v>205</c:v>
                </c:pt>
                <c:pt idx="566">
                  <c:v>206</c:v>
                </c:pt>
                <c:pt idx="567">
                  <c:v>207</c:v>
                </c:pt>
                <c:pt idx="568">
                  <c:v>208</c:v>
                </c:pt>
                <c:pt idx="569">
                  <c:v>209</c:v>
                </c:pt>
                <c:pt idx="570">
                  <c:v>210</c:v>
                </c:pt>
                <c:pt idx="571">
                  <c:v>211</c:v>
                </c:pt>
                <c:pt idx="572">
                  <c:v>212</c:v>
                </c:pt>
                <c:pt idx="573">
                  <c:v>213</c:v>
                </c:pt>
                <c:pt idx="574">
                  <c:v>214</c:v>
                </c:pt>
                <c:pt idx="575">
                  <c:v>215</c:v>
                </c:pt>
                <c:pt idx="576">
                  <c:v>216</c:v>
                </c:pt>
                <c:pt idx="577">
                  <c:v>217</c:v>
                </c:pt>
                <c:pt idx="578">
                  <c:v>218</c:v>
                </c:pt>
                <c:pt idx="579">
                  <c:v>219</c:v>
                </c:pt>
                <c:pt idx="580">
                  <c:v>220</c:v>
                </c:pt>
                <c:pt idx="581">
                  <c:v>221</c:v>
                </c:pt>
                <c:pt idx="582">
                  <c:v>222</c:v>
                </c:pt>
                <c:pt idx="583">
                  <c:v>223</c:v>
                </c:pt>
                <c:pt idx="584">
                  <c:v>224</c:v>
                </c:pt>
                <c:pt idx="585">
                  <c:v>225</c:v>
                </c:pt>
                <c:pt idx="586">
                  <c:v>226</c:v>
                </c:pt>
                <c:pt idx="587">
                  <c:v>227</c:v>
                </c:pt>
                <c:pt idx="588">
                  <c:v>228</c:v>
                </c:pt>
                <c:pt idx="589">
                  <c:v>229</c:v>
                </c:pt>
                <c:pt idx="590">
                  <c:v>230</c:v>
                </c:pt>
                <c:pt idx="591">
                  <c:v>231</c:v>
                </c:pt>
                <c:pt idx="592">
                  <c:v>232</c:v>
                </c:pt>
                <c:pt idx="593">
                  <c:v>233</c:v>
                </c:pt>
                <c:pt idx="594">
                  <c:v>234</c:v>
                </c:pt>
                <c:pt idx="595">
                  <c:v>235</c:v>
                </c:pt>
                <c:pt idx="596">
                  <c:v>236</c:v>
                </c:pt>
                <c:pt idx="597">
                  <c:v>237</c:v>
                </c:pt>
                <c:pt idx="598">
                  <c:v>238</c:v>
                </c:pt>
                <c:pt idx="599">
                  <c:v>239</c:v>
                </c:pt>
                <c:pt idx="600">
                  <c:v>240</c:v>
                </c:pt>
                <c:pt idx="601">
                  <c:v>241</c:v>
                </c:pt>
                <c:pt idx="602">
                  <c:v>242</c:v>
                </c:pt>
                <c:pt idx="603">
                  <c:v>243</c:v>
                </c:pt>
                <c:pt idx="604">
                  <c:v>244</c:v>
                </c:pt>
                <c:pt idx="605">
                  <c:v>245</c:v>
                </c:pt>
                <c:pt idx="606">
                  <c:v>246</c:v>
                </c:pt>
                <c:pt idx="607">
                  <c:v>247</c:v>
                </c:pt>
                <c:pt idx="608">
                  <c:v>248</c:v>
                </c:pt>
                <c:pt idx="609">
                  <c:v>249</c:v>
                </c:pt>
                <c:pt idx="610">
                  <c:v>250</c:v>
                </c:pt>
                <c:pt idx="611">
                  <c:v>251</c:v>
                </c:pt>
                <c:pt idx="612">
                  <c:v>252</c:v>
                </c:pt>
                <c:pt idx="613">
                  <c:v>253</c:v>
                </c:pt>
                <c:pt idx="614">
                  <c:v>254</c:v>
                </c:pt>
                <c:pt idx="615">
                  <c:v>255</c:v>
                </c:pt>
                <c:pt idx="616">
                  <c:v>256</c:v>
                </c:pt>
                <c:pt idx="617">
                  <c:v>257</c:v>
                </c:pt>
                <c:pt idx="618">
                  <c:v>258</c:v>
                </c:pt>
                <c:pt idx="619">
                  <c:v>259</c:v>
                </c:pt>
                <c:pt idx="620">
                  <c:v>260</c:v>
                </c:pt>
                <c:pt idx="621">
                  <c:v>261</c:v>
                </c:pt>
                <c:pt idx="622">
                  <c:v>262</c:v>
                </c:pt>
                <c:pt idx="623">
                  <c:v>263</c:v>
                </c:pt>
                <c:pt idx="624">
                  <c:v>264</c:v>
                </c:pt>
                <c:pt idx="625">
                  <c:v>265</c:v>
                </c:pt>
                <c:pt idx="626">
                  <c:v>266</c:v>
                </c:pt>
                <c:pt idx="627">
                  <c:v>267</c:v>
                </c:pt>
                <c:pt idx="628">
                  <c:v>268</c:v>
                </c:pt>
                <c:pt idx="629">
                  <c:v>269</c:v>
                </c:pt>
                <c:pt idx="630">
                  <c:v>270</c:v>
                </c:pt>
                <c:pt idx="631">
                  <c:v>271</c:v>
                </c:pt>
                <c:pt idx="632">
                  <c:v>272</c:v>
                </c:pt>
                <c:pt idx="633">
                  <c:v>273</c:v>
                </c:pt>
                <c:pt idx="634">
                  <c:v>274</c:v>
                </c:pt>
                <c:pt idx="635">
                  <c:v>275</c:v>
                </c:pt>
                <c:pt idx="636">
                  <c:v>276</c:v>
                </c:pt>
                <c:pt idx="637">
                  <c:v>277</c:v>
                </c:pt>
                <c:pt idx="638">
                  <c:v>278</c:v>
                </c:pt>
                <c:pt idx="639">
                  <c:v>279</c:v>
                </c:pt>
                <c:pt idx="640">
                  <c:v>280</c:v>
                </c:pt>
                <c:pt idx="641">
                  <c:v>281</c:v>
                </c:pt>
                <c:pt idx="642">
                  <c:v>282</c:v>
                </c:pt>
                <c:pt idx="643">
                  <c:v>283</c:v>
                </c:pt>
                <c:pt idx="644">
                  <c:v>284</c:v>
                </c:pt>
                <c:pt idx="645">
                  <c:v>285</c:v>
                </c:pt>
                <c:pt idx="646">
                  <c:v>286</c:v>
                </c:pt>
                <c:pt idx="647">
                  <c:v>287</c:v>
                </c:pt>
                <c:pt idx="648">
                  <c:v>288</c:v>
                </c:pt>
                <c:pt idx="649">
                  <c:v>289</c:v>
                </c:pt>
                <c:pt idx="650">
                  <c:v>290</c:v>
                </c:pt>
                <c:pt idx="651">
                  <c:v>291</c:v>
                </c:pt>
                <c:pt idx="652">
                  <c:v>292</c:v>
                </c:pt>
                <c:pt idx="653">
                  <c:v>293</c:v>
                </c:pt>
                <c:pt idx="654">
                  <c:v>294</c:v>
                </c:pt>
                <c:pt idx="655">
                  <c:v>295</c:v>
                </c:pt>
                <c:pt idx="656">
                  <c:v>296</c:v>
                </c:pt>
                <c:pt idx="657">
                  <c:v>297</c:v>
                </c:pt>
                <c:pt idx="658">
                  <c:v>298</c:v>
                </c:pt>
                <c:pt idx="659">
                  <c:v>299</c:v>
                </c:pt>
                <c:pt idx="660">
                  <c:v>300</c:v>
                </c:pt>
                <c:pt idx="661">
                  <c:v>301</c:v>
                </c:pt>
                <c:pt idx="662">
                  <c:v>302</c:v>
                </c:pt>
                <c:pt idx="663">
                  <c:v>303</c:v>
                </c:pt>
                <c:pt idx="664">
                  <c:v>304</c:v>
                </c:pt>
                <c:pt idx="665">
                  <c:v>305</c:v>
                </c:pt>
                <c:pt idx="666">
                  <c:v>306</c:v>
                </c:pt>
                <c:pt idx="667">
                  <c:v>307</c:v>
                </c:pt>
                <c:pt idx="668">
                  <c:v>308</c:v>
                </c:pt>
                <c:pt idx="669">
                  <c:v>309</c:v>
                </c:pt>
                <c:pt idx="670">
                  <c:v>310</c:v>
                </c:pt>
                <c:pt idx="671">
                  <c:v>311</c:v>
                </c:pt>
                <c:pt idx="672">
                  <c:v>312</c:v>
                </c:pt>
                <c:pt idx="673">
                  <c:v>313</c:v>
                </c:pt>
                <c:pt idx="674">
                  <c:v>314</c:v>
                </c:pt>
                <c:pt idx="675">
                  <c:v>315</c:v>
                </c:pt>
                <c:pt idx="676">
                  <c:v>316</c:v>
                </c:pt>
                <c:pt idx="677">
                  <c:v>317</c:v>
                </c:pt>
                <c:pt idx="678">
                  <c:v>318</c:v>
                </c:pt>
                <c:pt idx="679">
                  <c:v>319</c:v>
                </c:pt>
                <c:pt idx="680">
                  <c:v>320</c:v>
                </c:pt>
                <c:pt idx="681">
                  <c:v>321</c:v>
                </c:pt>
                <c:pt idx="682">
                  <c:v>322</c:v>
                </c:pt>
                <c:pt idx="683">
                  <c:v>323</c:v>
                </c:pt>
                <c:pt idx="684">
                  <c:v>324</c:v>
                </c:pt>
                <c:pt idx="685">
                  <c:v>325</c:v>
                </c:pt>
                <c:pt idx="686">
                  <c:v>326</c:v>
                </c:pt>
                <c:pt idx="687">
                  <c:v>327</c:v>
                </c:pt>
                <c:pt idx="688">
                  <c:v>328</c:v>
                </c:pt>
                <c:pt idx="689">
                  <c:v>329</c:v>
                </c:pt>
                <c:pt idx="690">
                  <c:v>330</c:v>
                </c:pt>
                <c:pt idx="691">
                  <c:v>331</c:v>
                </c:pt>
                <c:pt idx="692">
                  <c:v>332</c:v>
                </c:pt>
                <c:pt idx="693">
                  <c:v>333</c:v>
                </c:pt>
                <c:pt idx="694">
                  <c:v>334</c:v>
                </c:pt>
                <c:pt idx="695">
                  <c:v>335</c:v>
                </c:pt>
                <c:pt idx="696">
                  <c:v>336</c:v>
                </c:pt>
                <c:pt idx="697">
                  <c:v>337</c:v>
                </c:pt>
                <c:pt idx="698">
                  <c:v>338</c:v>
                </c:pt>
                <c:pt idx="699">
                  <c:v>339</c:v>
                </c:pt>
                <c:pt idx="700">
                  <c:v>340</c:v>
                </c:pt>
                <c:pt idx="701">
                  <c:v>341</c:v>
                </c:pt>
                <c:pt idx="702">
                  <c:v>342</c:v>
                </c:pt>
                <c:pt idx="703">
                  <c:v>343</c:v>
                </c:pt>
                <c:pt idx="704">
                  <c:v>344</c:v>
                </c:pt>
                <c:pt idx="705">
                  <c:v>345</c:v>
                </c:pt>
                <c:pt idx="706">
                  <c:v>346</c:v>
                </c:pt>
                <c:pt idx="707">
                  <c:v>347</c:v>
                </c:pt>
                <c:pt idx="708">
                  <c:v>348</c:v>
                </c:pt>
                <c:pt idx="709">
                  <c:v>349</c:v>
                </c:pt>
                <c:pt idx="710">
                  <c:v>350</c:v>
                </c:pt>
                <c:pt idx="711">
                  <c:v>351</c:v>
                </c:pt>
                <c:pt idx="712">
                  <c:v>352</c:v>
                </c:pt>
                <c:pt idx="713">
                  <c:v>353</c:v>
                </c:pt>
                <c:pt idx="714">
                  <c:v>354</c:v>
                </c:pt>
                <c:pt idx="715">
                  <c:v>355</c:v>
                </c:pt>
                <c:pt idx="716">
                  <c:v>356</c:v>
                </c:pt>
                <c:pt idx="717">
                  <c:v>357</c:v>
                </c:pt>
                <c:pt idx="718">
                  <c:v>358</c:v>
                </c:pt>
                <c:pt idx="719">
                  <c:v>359</c:v>
                </c:pt>
              </c:numCache>
            </c:numRef>
          </c:cat>
          <c:val>
            <c:numRef>
              <c:f>Data!$I$3:$I$722</c:f>
              <c:numCache>
                <c:formatCode>0.00</c:formatCode>
                <c:ptCount val="720"/>
              </c:numCache>
            </c:numRef>
          </c:val>
        </c:ser>
        <c:axId val="158237056"/>
        <c:axId val="158238592"/>
      </c:barChart>
      <c:catAx>
        <c:axId val="158237056"/>
        <c:scaling>
          <c:orientation val="minMax"/>
        </c:scaling>
        <c:axPos val="b"/>
        <c:numFmt formatCode="General" sourceLinked="1"/>
        <c:tickLblPos val="nextTo"/>
        <c:crossAx val="158238592"/>
        <c:crosses val="autoZero"/>
        <c:auto val="1"/>
        <c:lblAlgn val="ctr"/>
        <c:lblOffset val="100"/>
      </c:catAx>
      <c:valAx>
        <c:axId val="158238592"/>
        <c:scaling>
          <c:orientation val="minMax"/>
        </c:scaling>
        <c:axPos val="l"/>
        <c:majorGridlines/>
        <c:numFmt formatCode="0.00" sourceLinked="1"/>
        <c:tickLblPos val="nextTo"/>
        <c:crossAx val="1582370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en-US"/>
              <a:t>Aspirazione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Data!$J$2</c:f>
              <c:strCache>
                <c:ptCount val="1"/>
                <c:pt idx="0">
                  <c:v>Aspirazione</c:v>
                </c:pt>
              </c:strCache>
            </c:strRef>
          </c:tx>
          <c:cat>
            <c:numRef>
              <c:f>Data!$H$3:$H$722</c:f>
              <c:numCache>
                <c:formatCode>General</c:formatCode>
                <c:ptCount val="720"/>
                <c:pt idx="0">
                  <c:v>-360</c:v>
                </c:pt>
                <c:pt idx="1">
                  <c:v>-359</c:v>
                </c:pt>
                <c:pt idx="2">
                  <c:v>-358</c:v>
                </c:pt>
                <c:pt idx="3">
                  <c:v>-357</c:v>
                </c:pt>
                <c:pt idx="4">
                  <c:v>-356</c:v>
                </c:pt>
                <c:pt idx="5">
                  <c:v>-355</c:v>
                </c:pt>
                <c:pt idx="6">
                  <c:v>-354</c:v>
                </c:pt>
                <c:pt idx="7">
                  <c:v>-353</c:v>
                </c:pt>
                <c:pt idx="8">
                  <c:v>-352</c:v>
                </c:pt>
                <c:pt idx="9">
                  <c:v>-351</c:v>
                </c:pt>
                <c:pt idx="10">
                  <c:v>-350</c:v>
                </c:pt>
                <c:pt idx="11">
                  <c:v>-349</c:v>
                </c:pt>
                <c:pt idx="12">
                  <c:v>-348</c:v>
                </c:pt>
                <c:pt idx="13">
                  <c:v>-347</c:v>
                </c:pt>
                <c:pt idx="14">
                  <c:v>-346</c:v>
                </c:pt>
                <c:pt idx="15">
                  <c:v>-345</c:v>
                </c:pt>
                <c:pt idx="16">
                  <c:v>-344</c:v>
                </c:pt>
                <c:pt idx="17">
                  <c:v>-343</c:v>
                </c:pt>
                <c:pt idx="18">
                  <c:v>-342</c:v>
                </c:pt>
                <c:pt idx="19">
                  <c:v>-341</c:v>
                </c:pt>
                <c:pt idx="20">
                  <c:v>-340</c:v>
                </c:pt>
                <c:pt idx="21">
                  <c:v>-339</c:v>
                </c:pt>
                <c:pt idx="22">
                  <c:v>-338</c:v>
                </c:pt>
                <c:pt idx="23">
                  <c:v>-337</c:v>
                </c:pt>
                <c:pt idx="24">
                  <c:v>-336</c:v>
                </c:pt>
                <c:pt idx="25">
                  <c:v>-335</c:v>
                </c:pt>
                <c:pt idx="26">
                  <c:v>-334</c:v>
                </c:pt>
                <c:pt idx="27">
                  <c:v>-333</c:v>
                </c:pt>
                <c:pt idx="28">
                  <c:v>-332</c:v>
                </c:pt>
                <c:pt idx="29">
                  <c:v>-331</c:v>
                </c:pt>
                <c:pt idx="30">
                  <c:v>-330</c:v>
                </c:pt>
                <c:pt idx="31">
                  <c:v>-329</c:v>
                </c:pt>
                <c:pt idx="32">
                  <c:v>-328</c:v>
                </c:pt>
                <c:pt idx="33">
                  <c:v>-327</c:v>
                </c:pt>
                <c:pt idx="34">
                  <c:v>-326</c:v>
                </c:pt>
                <c:pt idx="35">
                  <c:v>-325</c:v>
                </c:pt>
                <c:pt idx="36">
                  <c:v>-324</c:v>
                </c:pt>
                <c:pt idx="37">
                  <c:v>-323</c:v>
                </c:pt>
                <c:pt idx="38">
                  <c:v>-322</c:v>
                </c:pt>
                <c:pt idx="39">
                  <c:v>-321</c:v>
                </c:pt>
                <c:pt idx="40">
                  <c:v>-320</c:v>
                </c:pt>
                <c:pt idx="41">
                  <c:v>-319</c:v>
                </c:pt>
                <c:pt idx="42">
                  <c:v>-318</c:v>
                </c:pt>
                <c:pt idx="43">
                  <c:v>-317</c:v>
                </c:pt>
                <c:pt idx="44">
                  <c:v>-316</c:v>
                </c:pt>
                <c:pt idx="45">
                  <c:v>-315</c:v>
                </c:pt>
                <c:pt idx="46">
                  <c:v>-314</c:v>
                </c:pt>
                <c:pt idx="47">
                  <c:v>-313</c:v>
                </c:pt>
                <c:pt idx="48">
                  <c:v>-312</c:v>
                </c:pt>
                <c:pt idx="49">
                  <c:v>-311</c:v>
                </c:pt>
                <c:pt idx="50">
                  <c:v>-310</c:v>
                </c:pt>
                <c:pt idx="51">
                  <c:v>-309</c:v>
                </c:pt>
                <c:pt idx="52">
                  <c:v>-308</c:v>
                </c:pt>
                <c:pt idx="53">
                  <c:v>-307</c:v>
                </c:pt>
                <c:pt idx="54">
                  <c:v>-306</c:v>
                </c:pt>
                <c:pt idx="55">
                  <c:v>-305</c:v>
                </c:pt>
                <c:pt idx="56">
                  <c:v>-304</c:v>
                </c:pt>
                <c:pt idx="57">
                  <c:v>-303</c:v>
                </c:pt>
                <c:pt idx="58">
                  <c:v>-302</c:v>
                </c:pt>
                <c:pt idx="59">
                  <c:v>-301</c:v>
                </c:pt>
                <c:pt idx="60">
                  <c:v>-300</c:v>
                </c:pt>
                <c:pt idx="61">
                  <c:v>-299</c:v>
                </c:pt>
                <c:pt idx="62">
                  <c:v>-298</c:v>
                </c:pt>
                <c:pt idx="63">
                  <c:v>-297</c:v>
                </c:pt>
                <c:pt idx="64">
                  <c:v>-296</c:v>
                </c:pt>
                <c:pt idx="65">
                  <c:v>-295</c:v>
                </c:pt>
                <c:pt idx="66">
                  <c:v>-294</c:v>
                </c:pt>
                <c:pt idx="67">
                  <c:v>-293</c:v>
                </c:pt>
                <c:pt idx="68">
                  <c:v>-292</c:v>
                </c:pt>
                <c:pt idx="69">
                  <c:v>-291</c:v>
                </c:pt>
                <c:pt idx="70">
                  <c:v>-290</c:v>
                </c:pt>
                <c:pt idx="71">
                  <c:v>-289</c:v>
                </c:pt>
                <c:pt idx="72">
                  <c:v>-288</c:v>
                </c:pt>
                <c:pt idx="73">
                  <c:v>-287</c:v>
                </c:pt>
                <c:pt idx="74">
                  <c:v>-286</c:v>
                </c:pt>
                <c:pt idx="75">
                  <c:v>-285</c:v>
                </c:pt>
                <c:pt idx="76">
                  <c:v>-284</c:v>
                </c:pt>
                <c:pt idx="77">
                  <c:v>-283</c:v>
                </c:pt>
                <c:pt idx="78">
                  <c:v>-282</c:v>
                </c:pt>
                <c:pt idx="79">
                  <c:v>-281</c:v>
                </c:pt>
                <c:pt idx="80">
                  <c:v>-280</c:v>
                </c:pt>
                <c:pt idx="81">
                  <c:v>-279</c:v>
                </c:pt>
                <c:pt idx="82">
                  <c:v>-278</c:v>
                </c:pt>
                <c:pt idx="83">
                  <c:v>-277</c:v>
                </c:pt>
                <c:pt idx="84">
                  <c:v>-276</c:v>
                </c:pt>
                <c:pt idx="85">
                  <c:v>-275</c:v>
                </c:pt>
                <c:pt idx="86">
                  <c:v>-274</c:v>
                </c:pt>
                <c:pt idx="87">
                  <c:v>-273</c:v>
                </c:pt>
                <c:pt idx="88">
                  <c:v>-272</c:v>
                </c:pt>
                <c:pt idx="89">
                  <c:v>-271</c:v>
                </c:pt>
                <c:pt idx="90">
                  <c:v>-270</c:v>
                </c:pt>
                <c:pt idx="91">
                  <c:v>-269</c:v>
                </c:pt>
                <c:pt idx="92">
                  <c:v>-268</c:v>
                </c:pt>
                <c:pt idx="93">
                  <c:v>-267</c:v>
                </c:pt>
                <c:pt idx="94">
                  <c:v>-266</c:v>
                </c:pt>
                <c:pt idx="95">
                  <c:v>-265</c:v>
                </c:pt>
                <c:pt idx="96">
                  <c:v>-264</c:v>
                </c:pt>
                <c:pt idx="97">
                  <c:v>-263</c:v>
                </c:pt>
                <c:pt idx="98">
                  <c:v>-262</c:v>
                </c:pt>
                <c:pt idx="99">
                  <c:v>-261</c:v>
                </c:pt>
                <c:pt idx="100">
                  <c:v>-260</c:v>
                </c:pt>
                <c:pt idx="101">
                  <c:v>-259</c:v>
                </c:pt>
                <c:pt idx="102">
                  <c:v>-258</c:v>
                </c:pt>
                <c:pt idx="103">
                  <c:v>-257</c:v>
                </c:pt>
                <c:pt idx="104">
                  <c:v>-256</c:v>
                </c:pt>
                <c:pt idx="105">
                  <c:v>-255</c:v>
                </c:pt>
                <c:pt idx="106">
                  <c:v>-254</c:v>
                </c:pt>
                <c:pt idx="107">
                  <c:v>-253</c:v>
                </c:pt>
                <c:pt idx="108">
                  <c:v>-252</c:v>
                </c:pt>
                <c:pt idx="109">
                  <c:v>-251</c:v>
                </c:pt>
                <c:pt idx="110">
                  <c:v>-250</c:v>
                </c:pt>
                <c:pt idx="111">
                  <c:v>-249</c:v>
                </c:pt>
                <c:pt idx="112">
                  <c:v>-248</c:v>
                </c:pt>
                <c:pt idx="113">
                  <c:v>-247</c:v>
                </c:pt>
                <c:pt idx="114">
                  <c:v>-246</c:v>
                </c:pt>
                <c:pt idx="115">
                  <c:v>-245</c:v>
                </c:pt>
                <c:pt idx="116">
                  <c:v>-244</c:v>
                </c:pt>
                <c:pt idx="117">
                  <c:v>-243</c:v>
                </c:pt>
                <c:pt idx="118">
                  <c:v>-242</c:v>
                </c:pt>
                <c:pt idx="119">
                  <c:v>-241</c:v>
                </c:pt>
                <c:pt idx="120">
                  <c:v>-240</c:v>
                </c:pt>
                <c:pt idx="121">
                  <c:v>-239</c:v>
                </c:pt>
                <c:pt idx="122">
                  <c:v>-238</c:v>
                </c:pt>
                <c:pt idx="123">
                  <c:v>-237</c:v>
                </c:pt>
                <c:pt idx="124">
                  <c:v>-236</c:v>
                </c:pt>
                <c:pt idx="125">
                  <c:v>-235</c:v>
                </c:pt>
                <c:pt idx="126">
                  <c:v>-234</c:v>
                </c:pt>
                <c:pt idx="127">
                  <c:v>-233</c:v>
                </c:pt>
                <c:pt idx="128">
                  <c:v>-232</c:v>
                </c:pt>
                <c:pt idx="129">
                  <c:v>-231</c:v>
                </c:pt>
                <c:pt idx="130">
                  <c:v>-230</c:v>
                </c:pt>
                <c:pt idx="131">
                  <c:v>-229</c:v>
                </c:pt>
                <c:pt idx="132">
                  <c:v>-228</c:v>
                </c:pt>
                <c:pt idx="133">
                  <c:v>-227</c:v>
                </c:pt>
                <c:pt idx="134">
                  <c:v>-226</c:v>
                </c:pt>
                <c:pt idx="135">
                  <c:v>-225</c:v>
                </c:pt>
                <c:pt idx="136">
                  <c:v>-224</c:v>
                </c:pt>
                <c:pt idx="137">
                  <c:v>-223</c:v>
                </c:pt>
                <c:pt idx="138">
                  <c:v>-222</c:v>
                </c:pt>
                <c:pt idx="139">
                  <c:v>-221</c:v>
                </c:pt>
                <c:pt idx="140">
                  <c:v>-220</c:v>
                </c:pt>
                <c:pt idx="141">
                  <c:v>-219</c:v>
                </c:pt>
                <c:pt idx="142">
                  <c:v>-218</c:v>
                </c:pt>
                <c:pt idx="143">
                  <c:v>-217</c:v>
                </c:pt>
                <c:pt idx="144">
                  <c:v>-216</c:v>
                </c:pt>
                <c:pt idx="145">
                  <c:v>-215</c:v>
                </c:pt>
                <c:pt idx="146">
                  <c:v>-214</c:v>
                </c:pt>
                <c:pt idx="147">
                  <c:v>-213</c:v>
                </c:pt>
                <c:pt idx="148">
                  <c:v>-212</c:v>
                </c:pt>
                <c:pt idx="149">
                  <c:v>-211</c:v>
                </c:pt>
                <c:pt idx="150">
                  <c:v>-210</c:v>
                </c:pt>
                <c:pt idx="151">
                  <c:v>-209</c:v>
                </c:pt>
                <c:pt idx="152">
                  <c:v>-208</c:v>
                </c:pt>
                <c:pt idx="153">
                  <c:v>-207</c:v>
                </c:pt>
                <c:pt idx="154">
                  <c:v>-206</c:v>
                </c:pt>
                <c:pt idx="155">
                  <c:v>-205</c:v>
                </c:pt>
                <c:pt idx="156">
                  <c:v>-204</c:v>
                </c:pt>
                <c:pt idx="157">
                  <c:v>-203</c:v>
                </c:pt>
                <c:pt idx="158">
                  <c:v>-202</c:v>
                </c:pt>
                <c:pt idx="159">
                  <c:v>-201</c:v>
                </c:pt>
                <c:pt idx="160">
                  <c:v>-200</c:v>
                </c:pt>
                <c:pt idx="161">
                  <c:v>-199</c:v>
                </c:pt>
                <c:pt idx="162">
                  <c:v>-198</c:v>
                </c:pt>
                <c:pt idx="163">
                  <c:v>-197</c:v>
                </c:pt>
                <c:pt idx="164">
                  <c:v>-196</c:v>
                </c:pt>
                <c:pt idx="165">
                  <c:v>-195</c:v>
                </c:pt>
                <c:pt idx="166">
                  <c:v>-194</c:v>
                </c:pt>
                <c:pt idx="167">
                  <c:v>-193</c:v>
                </c:pt>
                <c:pt idx="168">
                  <c:v>-192</c:v>
                </c:pt>
                <c:pt idx="169">
                  <c:v>-191</c:v>
                </c:pt>
                <c:pt idx="170">
                  <c:v>-190</c:v>
                </c:pt>
                <c:pt idx="171">
                  <c:v>-189</c:v>
                </c:pt>
                <c:pt idx="172">
                  <c:v>-188</c:v>
                </c:pt>
                <c:pt idx="173">
                  <c:v>-187</c:v>
                </c:pt>
                <c:pt idx="174">
                  <c:v>-186</c:v>
                </c:pt>
                <c:pt idx="175">
                  <c:v>-185</c:v>
                </c:pt>
                <c:pt idx="176">
                  <c:v>-184</c:v>
                </c:pt>
                <c:pt idx="177">
                  <c:v>-183</c:v>
                </c:pt>
                <c:pt idx="178">
                  <c:v>-182</c:v>
                </c:pt>
                <c:pt idx="179">
                  <c:v>-181</c:v>
                </c:pt>
                <c:pt idx="180">
                  <c:v>-180</c:v>
                </c:pt>
                <c:pt idx="181">
                  <c:v>-179</c:v>
                </c:pt>
                <c:pt idx="182">
                  <c:v>-178</c:v>
                </c:pt>
                <c:pt idx="183">
                  <c:v>-177</c:v>
                </c:pt>
                <c:pt idx="184">
                  <c:v>-176</c:v>
                </c:pt>
                <c:pt idx="185">
                  <c:v>-175</c:v>
                </c:pt>
                <c:pt idx="186">
                  <c:v>-174</c:v>
                </c:pt>
                <c:pt idx="187">
                  <c:v>-173</c:v>
                </c:pt>
                <c:pt idx="188">
                  <c:v>-172</c:v>
                </c:pt>
                <c:pt idx="189">
                  <c:v>-171</c:v>
                </c:pt>
                <c:pt idx="190">
                  <c:v>-170</c:v>
                </c:pt>
                <c:pt idx="191">
                  <c:v>-169</c:v>
                </c:pt>
                <c:pt idx="192">
                  <c:v>-168</c:v>
                </c:pt>
                <c:pt idx="193">
                  <c:v>-167</c:v>
                </c:pt>
                <c:pt idx="194">
                  <c:v>-166</c:v>
                </c:pt>
                <c:pt idx="195">
                  <c:v>-165</c:v>
                </c:pt>
                <c:pt idx="196">
                  <c:v>-164</c:v>
                </c:pt>
                <c:pt idx="197">
                  <c:v>-163</c:v>
                </c:pt>
                <c:pt idx="198">
                  <c:v>-162</c:v>
                </c:pt>
                <c:pt idx="199">
                  <c:v>-161</c:v>
                </c:pt>
                <c:pt idx="200">
                  <c:v>-160</c:v>
                </c:pt>
                <c:pt idx="201">
                  <c:v>-159</c:v>
                </c:pt>
                <c:pt idx="202">
                  <c:v>-158</c:v>
                </c:pt>
                <c:pt idx="203">
                  <c:v>-157</c:v>
                </c:pt>
                <c:pt idx="204">
                  <c:v>-156</c:v>
                </c:pt>
                <c:pt idx="205">
                  <c:v>-155</c:v>
                </c:pt>
                <c:pt idx="206">
                  <c:v>-154</c:v>
                </c:pt>
                <c:pt idx="207">
                  <c:v>-153</c:v>
                </c:pt>
                <c:pt idx="208">
                  <c:v>-152</c:v>
                </c:pt>
                <c:pt idx="209">
                  <c:v>-151</c:v>
                </c:pt>
                <c:pt idx="210">
                  <c:v>-150</c:v>
                </c:pt>
                <c:pt idx="211">
                  <c:v>-149</c:v>
                </c:pt>
                <c:pt idx="212">
                  <c:v>-148</c:v>
                </c:pt>
                <c:pt idx="213">
                  <c:v>-147</c:v>
                </c:pt>
                <c:pt idx="214">
                  <c:v>-146</c:v>
                </c:pt>
                <c:pt idx="215">
                  <c:v>-145</c:v>
                </c:pt>
                <c:pt idx="216">
                  <c:v>-144</c:v>
                </c:pt>
                <c:pt idx="217">
                  <c:v>-143</c:v>
                </c:pt>
                <c:pt idx="218">
                  <c:v>-142</c:v>
                </c:pt>
                <c:pt idx="219">
                  <c:v>-141</c:v>
                </c:pt>
                <c:pt idx="220">
                  <c:v>-140</c:v>
                </c:pt>
                <c:pt idx="221">
                  <c:v>-139</c:v>
                </c:pt>
                <c:pt idx="222">
                  <c:v>-138</c:v>
                </c:pt>
                <c:pt idx="223">
                  <c:v>-137</c:v>
                </c:pt>
                <c:pt idx="224">
                  <c:v>-136</c:v>
                </c:pt>
                <c:pt idx="225">
                  <c:v>-135</c:v>
                </c:pt>
                <c:pt idx="226">
                  <c:v>-134</c:v>
                </c:pt>
                <c:pt idx="227">
                  <c:v>-133</c:v>
                </c:pt>
                <c:pt idx="228">
                  <c:v>-132</c:v>
                </c:pt>
                <c:pt idx="229">
                  <c:v>-131</c:v>
                </c:pt>
                <c:pt idx="230">
                  <c:v>-130</c:v>
                </c:pt>
                <c:pt idx="231">
                  <c:v>-129</c:v>
                </c:pt>
                <c:pt idx="232">
                  <c:v>-128</c:v>
                </c:pt>
                <c:pt idx="233">
                  <c:v>-127</c:v>
                </c:pt>
                <c:pt idx="234">
                  <c:v>-126</c:v>
                </c:pt>
                <c:pt idx="235">
                  <c:v>-125</c:v>
                </c:pt>
                <c:pt idx="236">
                  <c:v>-124</c:v>
                </c:pt>
                <c:pt idx="237">
                  <c:v>-123</c:v>
                </c:pt>
                <c:pt idx="238">
                  <c:v>-122</c:v>
                </c:pt>
                <c:pt idx="239">
                  <c:v>-121</c:v>
                </c:pt>
                <c:pt idx="240">
                  <c:v>-120</c:v>
                </c:pt>
                <c:pt idx="241">
                  <c:v>-119</c:v>
                </c:pt>
                <c:pt idx="242">
                  <c:v>-118</c:v>
                </c:pt>
                <c:pt idx="243">
                  <c:v>-117</c:v>
                </c:pt>
                <c:pt idx="244">
                  <c:v>-116</c:v>
                </c:pt>
                <c:pt idx="245">
                  <c:v>-115</c:v>
                </c:pt>
                <c:pt idx="246">
                  <c:v>-114</c:v>
                </c:pt>
                <c:pt idx="247">
                  <c:v>-113</c:v>
                </c:pt>
                <c:pt idx="248">
                  <c:v>-112</c:v>
                </c:pt>
                <c:pt idx="249">
                  <c:v>-111</c:v>
                </c:pt>
                <c:pt idx="250">
                  <c:v>-110</c:v>
                </c:pt>
                <c:pt idx="251">
                  <c:v>-109</c:v>
                </c:pt>
                <c:pt idx="252">
                  <c:v>-108</c:v>
                </c:pt>
                <c:pt idx="253">
                  <c:v>-107</c:v>
                </c:pt>
                <c:pt idx="254">
                  <c:v>-106</c:v>
                </c:pt>
                <c:pt idx="255">
                  <c:v>-105</c:v>
                </c:pt>
                <c:pt idx="256">
                  <c:v>-104</c:v>
                </c:pt>
                <c:pt idx="257">
                  <c:v>-103</c:v>
                </c:pt>
                <c:pt idx="258">
                  <c:v>-102</c:v>
                </c:pt>
                <c:pt idx="259">
                  <c:v>-101</c:v>
                </c:pt>
                <c:pt idx="260">
                  <c:v>-100</c:v>
                </c:pt>
                <c:pt idx="261">
                  <c:v>-99</c:v>
                </c:pt>
                <c:pt idx="262">
                  <c:v>-98</c:v>
                </c:pt>
                <c:pt idx="263">
                  <c:v>-97</c:v>
                </c:pt>
                <c:pt idx="264">
                  <c:v>-96</c:v>
                </c:pt>
                <c:pt idx="265">
                  <c:v>-95</c:v>
                </c:pt>
                <c:pt idx="266">
                  <c:v>-94</c:v>
                </c:pt>
                <c:pt idx="267">
                  <c:v>-93</c:v>
                </c:pt>
                <c:pt idx="268">
                  <c:v>-92</c:v>
                </c:pt>
                <c:pt idx="269">
                  <c:v>-91</c:v>
                </c:pt>
                <c:pt idx="270">
                  <c:v>-90</c:v>
                </c:pt>
                <c:pt idx="271">
                  <c:v>-89</c:v>
                </c:pt>
                <c:pt idx="272">
                  <c:v>-88</c:v>
                </c:pt>
                <c:pt idx="273">
                  <c:v>-87</c:v>
                </c:pt>
                <c:pt idx="274">
                  <c:v>-86</c:v>
                </c:pt>
                <c:pt idx="275">
                  <c:v>-85</c:v>
                </c:pt>
                <c:pt idx="276">
                  <c:v>-84</c:v>
                </c:pt>
                <c:pt idx="277">
                  <c:v>-83</c:v>
                </c:pt>
                <c:pt idx="278">
                  <c:v>-82</c:v>
                </c:pt>
                <c:pt idx="279">
                  <c:v>-81</c:v>
                </c:pt>
                <c:pt idx="280">
                  <c:v>-80</c:v>
                </c:pt>
                <c:pt idx="281">
                  <c:v>-79</c:v>
                </c:pt>
                <c:pt idx="282">
                  <c:v>-78</c:v>
                </c:pt>
                <c:pt idx="283">
                  <c:v>-77</c:v>
                </c:pt>
                <c:pt idx="284">
                  <c:v>-76</c:v>
                </c:pt>
                <c:pt idx="285">
                  <c:v>-75</c:v>
                </c:pt>
                <c:pt idx="286">
                  <c:v>-74</c:v>
                </c:pt>
                <c:pt idx="287">
                  <c:v>-73</c:v>
                </c:pt>
                <c:pt idx="288">
                  <c:v>-72</c:v>
                </c:pt>
                <c:pt idx="289">
                  <c:v>-71</c:v>
                </c:pt>
                <c:pt idx="290">
                  <c:v>-70</c:v>
                </c:pt>
                <c:pt idx="291">
                  <c:v>-69</c:v>
                </c:pt>
                <c:pt idx="292">
                  <c:v>-68</c:v>
                </c:pt>
                <c:pt idx="293">
                  <c:v>-67</c:v>
                </c:pt>
                <c:pt idx="294">
                  <c:v>-66</c:v>
                </c:pt>
                <c:pt idx="295">
                  <c:v>-65</c:v>
                </c:pt>
                <c:pt idx="296">
                  <c:v>-64</c:v>
                </c:pt>
                <c:pt idx="297">
                  <c:v>-63</c:v>
                </c:pt>
                <c:pt idx="298">
                  <c:v>-62</c:v>
                </c:pt>
                <c:pt idx="299">
                  <c:v>-61</c:v>
                </c:pt>
                <c:pt idx="300">
                  <c:v>-60</c:v>
                </c:pt>
                <c:pt idx="301">
                  <c:v>-59</c:v>
                </c:pt>
                <c:pt idx="302">
                  <c:v>-58</c:v>
                </c:pt>
                <c:pt idx="303">
                  <c:v>-57</c:v>
                </c:pt>
                <c:pt idx="304">
                  <c:v>-56</c:v>
                </c:pt>
                <c:pt idx="305">
                  <c:v>-55</c:v>
                </c:pt>
                <c:pt idx="306">
                  <c:v>-54</c:v>
                </c:pt>
                <c:pt idx="307">
                  <c:v>-53</c:v>
                </c:pt>
                <c:pt idx="308">
                  <c:v>-52</c:v>
                </c:pt>
                <c:pt idx="309">
                  <c:v>-51</c:v>
                </c:pt>
                <c:pt idx="310">
                  <c:v>-50</c:v>
                </c:pt>
                <c:pt idx="311">
                  <c:v>-49</c:v>
                </c:pt>
                <c:pt idx="312">
                  <c:v>-48</c:v>
                </c:pt>
                <c:pt idx="313">
                  <c:v>-47</c:v>
                </c:pt>
                <c:pt idx="314">
                  <c:v>-46</c:v>
                </c:pt>
                <c:pt idx="315">
                  <c:v>-45</c:v>
                </c:pt>
                <c:pt idx="316">
                  <c:v>-44</c:v>
                </c:pt>
                <c:pt idx="317">
                  <c:v>-43</c:v>
                </c:pt>
                <c:pt idx="318">
                  <c:v>-42</c:v>
                </c:pt>
                <c:pt idx="319">
                  <c:v>-41</c:v>
                </c:pt>
                <c:pt idx="320">
                  <c:v>-40</c:v>
                </c:pt>
                <c:pt idx="321">
                  <c:v>-39</c:v>
                </c:pt>
                <c:pt idx="322">
                  <c:v>-38</c:v>
                </c:pt>
                <c:pt idx="323">
                  <c:v>-37</c:v>
                </c:pt>
                <c:pt idx="324">
                  <c:v>-36</c:v>
                </c:pt>
                <c:pt idx="325">
                  <c:v>-35</c:v>
                </c:pt>
                <c:pt idx="326">
                  <c:v>-34</c:v>
                </c:pt>
                <c:pt idx="327">
                  <c:v>-33</c:v>
                </c:pt>
                <c:pt idx="328">
                  <c:v>-32</c:v>
                </c:pt>
                <c:pt idx="329">
                  <c:v>-31</c:v>
                </c:pt>
                <c:pt idx="330">
                  <c:v>-30</c:v>
                </c:pt>
                <c:pt idx="331">
                  <c:v>-29</c:v>
                </c:pt>
                <c:pt idx="332">
                  <c:v>-28</c:v>
                </c:pt>
                <c:pt idx="333">
                  <c:v>-27</c:v>
                </c:pt>
                <c:pt idx="334">
                  <c:v>-26</c:v>
                </c:pt>
                <c:pt idx="335">
                  <c:v>-25</c:v>
                </c:pt>
                <c:pt idx="336">
                  <c:v>-24</c:v>
                </c:pt>
                <c:pt idx="337">
                  <c:v>-23</c:v>
                </c:pt>
                <c:pt idx="338">
                  <c:v>-22</c:v>
                </c:pt>
                <c:pt idx="339">
                  <c:v>-21</c:v>
                </c:pt>
                <c:pt idx="340">
                  <c:v>-20</c:v>
                </c:pt>
                <c:pt idx="341">
                  <c:v>-19</c:v>
                </c:pt>
                <c:pt idx="342">
                  <c:v>-18</c:v>
                </c:pt>
                <c:pt idx="343">
                  <c:v>-17</c:v>
                </c:pt>
                <c:pt idx="344">
                  <c:v>-16</c:v>
                </c:pt>
                <c:pt idx="345">
                  <c:v>-15</c:v>
                </c:pt>
                <c:pt idx="346">
                  <c:v>-14</c:v>
                </c:pt>
                <c:pt idx="347">
                  <c:v>-13</c:v>
                </c:pt>
                <c:pt idx="348">
                  <c:v>-12</c:v>
                </c:pt>
                <c:pt idx="349">
                  <c:v>-11</c:v>
                </c:pt>
                <c:pt idx="350">
                  <c:v>-10</c:v>
                </c:pt>
                <c:pt idx="351">
                  <c:v>-9</c:v>
                </c:pt>
                <c:pt idx="352">
                  <c:v>-8</c:v>
                </c:pt>
                <c:pt idx="353">
                  <c:v>-7</c:v>
                </c:pt>
                <c:pt idx="354">
                  <c:v>-6</c:v>
                </c:pt>
                <c:pt idx="355">
                  <c:v>-5</c:v>
                </c:pt>
                <c:pt idx="356">
                  <c:v>-4</c:v>
                </c:pt>
                <c:pt idx="357">
                  <c:v>-3</c:v>
                </c:pt>
                <c:pt idx="358">
                  <c:v>-2</c:v>
                </c:pt>
                <c:pt idx="359">
                  <c:v>-1</c:v>
                </c:pt>
                <c:pt idx="360">
                  <c:v>0</c:v>
                </c:pt>
                <c:pt idx="361">
                  <c:v>1</c:v>
                </c:pt>
                <c:pt idx="362">
                  <c:v>2</c:v>
                </c:pt>
                <c:pt idx="363">
                  <c:v>3</c:v>
                </c:pt>
                <c:pt idx="364">
                  <c:v>4</c:v>
                </c:pt>
                <c:pt idx="365">
                  <c:v>5</c:v>
                </c:pt>
                <c:pt idx="366">
                  <c:v>6</c:v>
                </c:pt>
                <c:pt idx="367">
                  <c:v>7</c:v>
                </c:pt>
                <c:pt idx="368">
                  <c:v>8</c:v>
                </c:pt>
                <c:pt idx="369">
                  <c:v>9</c:v>
                </c:pt>
                <c:pt idx="370">
                  <c:v>10</c:v>
                </c:pt>
                <c:pt idx="371">
                  <c:v>11</c:v>
                </c:pt>
                <c:pt idx="372">
                  <c:v>12</c:v>
                </c:pt>
                <c:pt idx="373">
                  <c:v>13</c:v>
                </c:pt>
                <c:pt idx="374">
                  <c:v>14</c:v>
                </c:pt>
                <c:pt idx="375">
                  <c:v>15</c:v>
                </c:pt>
                <c:pt idx="376">
                  <c:v>16</c:v>
                </c:pt>
                <c:pt idx="377">
                  <c:v>17</c:v>
                </c:pt>
                <c:pt idx="378">
                  <c:v>18</c:v>
                </c:pt>
                <c:pt idx="379">
                  <c:v>19</c:v>
                </c:pt>
                <c:pt idx="380">
                  <c:v>20</c:v>
                </c:pt>
                <c:pt idx="381">
                  <c:v>21</c:v>
                </c:pt>
                <c:pt idx="382">
                  <c:v>22</c:v>
                </c:pt>
                <c:pt idx="383">
                  <c:v>23</c:v>
                </c:pt>
                <c:pt idx="384">
                  <c:v>24</c:v>
                </c:pt>
                <c:pt idx="385">
                  <c:v>25</c:v>
                </c:pt>
                <c:pt idx="386">
                  <c:v>26</c:v>
                </c:pt>
                <c:pt idx="387">
                  <c:v>27</c:v>
                </c:pt>
                <c:pt idx="388">
                  <c:v>28</c:v>
                </c:pt>
                <c:pt idx="389">
                  <c:v>29</c:v>
                </c:pt>
                <c:pt idx="390">
                  <c:v>30</c:v>
                </c:pt>
                <c:pt idx="391">
                  <c:v>31</c:v>
                </c:pt>
                <c:pt idx="392">
                  <c:v>32</c:v>
                </c:pt>
                <c:pt idx="393">
                  <c:v>33</c:v>
                </c:pt>
                <c:pt idx="394">
                  <c:v>34</c:v>
                </c:pt>
                <c:pt idx="395">
                  <c:v>35</c:v>
                </c:pt>
                <c:pt idx="396">
                  <c:v>36</c:v>
                </c:pt>
                <c:pt idx="397">
                  <c:v>37</c:v>
                </c:pt>
                <c:pt idx="398">
                  <c:v>38</c:v>
                </c:pt>
                <c:pt idx="399">
                  <c:v>39</c:v>
                </c:pt>
                <c:pt idx="400">
                  <c:v>40</c:v>
                </c:pt>
                <c:pt idx="401">
                  <c:v>41</c:v>
                </c:pt>
                <c:pt idx="402">
                  <c:v>42</c:v>
                </c:pt>
                <c:pt idx="403">
                  <c:v>43</c:v>
                </c:pt>
                <c:pt idx="404">
                  <c:v>44</c:v>
                </c:pt>
                <c:pt idx="405">
                  <c:v>45</c:v>
                </c:pt>
                <c:pt idx="406">
                  <c:v>46</c:v>
                </c:pt>
                <c:pt idx="407">
                  <c:v>47</c:v>
                </c:pt>
                <c:pt idx="408">
                  <c:v>48</c:v>
                </c:pt>
                <c:pt idx="409">
                  <c:v>49</c:v>
                </c:pt>
                <c:pt idx="410">
                  <c:v>50</c:v>
                </c:pt>
                <c:pt idx="411">
                  <c:v>51</c:v>
                </c:pt>
                <c:pt idx="412">
                  <c:v>52</c:v>
                </c:pt>
                <c:pt idx="413">
                  <c:v>53</c:v>
                </c:pt>
                <c:pt idx="414">
                  <c:v>54</c:v>
                </c:pt>
                <c:pt idx="415">
                  <c:v>55</c:v>
                </c:pt>
                <c:pt idx="416">
                  <c:v>56</c:v>
                </c:pt>
                <c:pt idx="417">
                  <c:v>57</c:v>
                </c:pt>
                <c:pt idx="418">
                  <c:v>58</c:v>
                </c:pt>
                <c:pt idx="419">
                  <c:v>59</c:v>
                </c:pt>
                <c:pt idx="420">
                  <c:v>60</c:v>
                </c:pt>
                <c:pt idx="421">
                  <c:v>61</c:v>
                </c:pt>
                <c:pt idx="422">
                  <c:v>62</c:v>
                </c:pt>
                <c:pt idx="423">
                  <c:v>63</c:v>
                </c:pt>
                <c:pt idx="424">
                  <c:v>64</c:v>
                </c:pt>
                <c:pt idx="425">
                  <c:v>65</c:v>
                </c:pt>
                <c:pt idx="426">
                  <c:v>66</c:v>
                </c:pt>
                <c:pt idx="427">
                  <c:v>67</c:v>
                </c:pt>
                <c:pt idx="428">
                  <c:v>68</c:v>
                </c:pt>
                <c:pt idx="429">
                  <c:v>69</c:v>
                </c:pt>
                <c:pt idx="430">
                  <c:v>70</c:v>
                </c:pt>
                <c:pt idx="431">
                  <c:v>71</c:v>
                </c:pt>
                <c:pt idx="432">
                  <c:v>72</c:v>
                </c:pt>
                <c:pt idx="433">
                  <c:v>73</c:v>
                </c:pt>
                <c:pt idx="434">
                  <c:v>74</c:v>
                </c:pt>
                <c:pt idx="435">
                  <c:v>75</c:v>
                </c:pt>
                <c:pt idx="436">
                  <c:v>76</c:v>
                </c:pt>
                <c:pt idx="437">
                  <c:v>77</c:v>
                </c:pt>
                <c:pt idx="438">
                  <c:v>78</c:v>
                </c:pt>
                <c:pt idx="439">
                  <c:v>79</c:v>
                </c:pt>
                <c:pt idx="440">
                  <c:v>80</c:v>
                </c:pt>
                <c:pt idx="441">
                  <c:v>81</c:v>
                </c:pt>
                <c:pt idx="442">
                  <c:v>82</c:v>
                </c:pt>
                <c:pt idx="443">
                  <c:v>83</c:v>
                </c:pt>
                <c:pt idx="444">
                  <c:v>84</c:v>
                </c:pt>
                <c:pt idx="445">
                  <c:v>85</c:v>
                </c:pt>
                <c:pt idx="446">
                  <c:v>86</c:v>
                </c:pt>
                <c:pt idx="447">
                  <c:v>87</c:v>
                </c:pt>
                <c:pt idx="448">
                  <c:v>88</c:v>
                </c:pt>
                <c:pt idx="449">
                  <c:v>89</c:v>
                </c:pt>
                <c:pt idx="450">
                  <c:v>90</c:v>
                </c:pt>
                <c:pt idx="451">
                  <c:v>91</c:v>
                </c:pt>
                <c:pt idx="452">
                  <c:v>92</c:v>
                </c:pt>
                <c:pt idx="453">
                  <c:v>93</c:v>
                </c:pt>
                <c:pt idx="454">
                  <c:v>94</c:v>
                </c:pt>
                <c:pt idx="455">
                  <c:v>95</c:v>
                </c:pt>
                <c:pt idx="456">
                  <c:v>96</c:v>
                </c:pt>
                <c:pt idx="457">
                  <c:v>97</c:v>
                </c:pt>
                <c:pt idx="458">
                  <c:v>98</c:v>
                </c:pt>
                <c:pt idx="459">
                  <c:v>99</c:v>
                </c:pt>
                <c:pt idx="460">
                  <c:v>100</c:v>
                </c:pt>
                <c:pt idx="461">
                  <c:v>101</c:v>
                </c:pt>
                <c:pt idx="462">
                  <c:v>102</c:v>
                </c:pt>
                <c:pt idx="463">
                  <c:v>103</c:v>
                </c:pt>
                <c:pt idx="464">
                  <c:v>104</c:v>
                </c:pt>
                <c:pt idx="465">
                  <c:v>105</c:v>
                </c:pt>
                <c:pt idx="466">
                  <c:v>106</c:v>
                </c:pt>
                <c:pt idx="467">
                  <c:v>107</c:v>
                </c:pt>
                <c:pt idx="468">
                  <c:v>108</c:v>
                </c:pt>
                <c:pt idx="469">
                  <c:v>109</c:v>
                </c:pt>
                <c:pt idx="470">
                  <c:v>110</c:v>
                </c:pt>
                <c:pt idx="471">
                  <c:v>111</c:v>
                </c:pt>
                <c:pt idx="472">
                  <c:v>112</c:v>
                </c:pt>
                <c:pt idx="473">
                  <c:v>113</c:v>
                </c:pt>
                <c:pt idx="474">
                  <c:v>114</c:v>
                </c:pt>
                <c:pt idx="475">
                  <c:v>115</c:v>
                </c:pt>
                <c:pt idx="476">
                  <c:v>116</c:v>
                </c:pt>
                <c:pt idx="477">
                  <c:v>117</c:v>
                </c:pt>
                <c:pt idx="478">
                  <c:v>118</c:v>
                </c:pt>
                <c:pt idx="479">
                  <c:v>119</c:v>
                </c:pt>
                <c:pt idx="480">
                  <c:v>120</c:v>
                </c:pt>
                <c:pt idx="481">
                  <c:v>121</c:v>
                </c:pt>
                <c:pt idx="482">
                  <c:v>122</c:v>
                </c:pt>
                <c:pt idx="483">
                  <c:v>123</c:v>
                </c:pt>
                <c:pt idx="484">
                  <c:v>124</c:v>
                </c:pt>
                <c:pt idx="485">
                  <c:v>125</c:v>
                </c:pt>
                <c:pt idx="486">
                  <c:v>126</c:v>
                </c:pt>
                <c:pt idx="487">
                  <c:v>127</c:v>
                </c:pt>
                <c:pt idx="488">
                  <c:v>128</c:v>
                </c:pt>
                <c:pt idx="489">
                  <c:v>129</c:v>
                </c:pt>
                <c:pt idx="490">
                  <c:v>130</c:v>
                </c:pt>
                <c:pt idx="491">
                  <c:v>131</c:v>
                </c:pt>
                <c:pt idx="492">
                  <c:v>132</c:v>
                </c:pt>
                <c:pt idx="493">
                  <c:v>133</c:v>
                </c:pt>
                <c:pt idx="494">
                  <c:v>134</c:v>
                </c:pt>
                <c:pt idx="495">
                  <c:v>135</c:v>
                </c:pt>
                <c:pt idx="496">
                  <c:v>136</c:v>
                </c:pt>
                <c:pt idx="497">
                  <c:v>137</c:v>
                </c:pt>
                <c:pt idx="498">
                  <c:v>138</c:v>
                </c:pt>
                <c:pt idx="499">
                  <c:v>139</c:v>
                </c:pt>
                <c:pt idx="500">
                  <c:v>140</c:v>
                </c:pt>
                <c:pt idx="501">
                  <c:v>141</c:v>
                </c:pt>
                <c:pt idx="502">
                  <c:v>142</c:v>
                </c:pt>
                <c:pt idx="503">
                  <c:v>143</c:v>
                </c:pt>
                <c:pt idx="504">
                  <c:v>144</c:v>
                </c:pt>
                <c:pt idx="505">
                  <c:v>145</c:v>
                </c:pt>
                <c:pt idx="506">
                  <c:v>146</c:v>
                </c:pt>
                <c:pt idx="507">
                  <c:v>147</c:v>
                </c:pt>
                <c:pt idx="508">
                  <c:v>148</c:v>
                </c:pt>
                <c:pt idx="509">
                  <c:v>149</c:v>
                </c:pt>
                <c:pt idx="510">
                  <c:v>150</c:v>
                </c:pt>
                <c:pt idx="511">
                  <c:v>151</c:v>
                </c:pt>
                <c:pt idx="512">
                  <c:v>152</c:v>
                </c:pt>
                <c:pt idx="513">
                  <c:v>153</c:v>
                </c:pt>
                <c:pt idx="514">
                  <c:v>154</c:v>
                </c:pt>
                <c:pt idx="515">
                  <c:v>155</c:v>
                </c:pt>
                <c:pt idx="516">
                  <c:v>156</c:v>
                </c:pt>
                <c:pt idx="517">
                  <c:v>157</c:v>
                </c:pt>
                <c:pt idx="518">
                  <c:v>158</c:v>
                </c:pt>
                <c:pt idx="519">
                  <c:v>159</c:v>
                </c:pt>
                <c:pt idx="520">
                  <c:v>160</c:v>
                </c:pt>
                <c:pt idx="521">
                  <c:v>161</c:v>
                </c:pt>
                <c:pt idx="522">
                  <c:v>162</c:v>
                </c:pt>
                <c:pt idx="523">
                  <c:v>163</c:v>
                </c:pt>
                <c:pt idx="524">
                  <c:v>164</c:v>
                </c:pt>
                <c:pt idx="525">
                  <c:v>165</c:v>
                </c:pt>
                <c:pt idx="526">
                  <c:v>166</c:v>
                </c:pt>
                <c:pt idx="527">
                  <c:v>167</c:v>
                </c:pt>
                <c:pt idx="528">
                  <c:v>168</c:v>
                </c:pt>
                <c:pt idx="529">
                  <c:v>169</c:v>
                </c:pt>
                <c:pt idx="530">
                  <c:v>170</c:v>
                </c:pt>
                <c:pt idx="531">
                  <c:v>171</c:v>
                </c:pt>
                <c:pt idx="532">
                  <c:v>172</c:v>
                </c:pt>
                <c:pt idx="533">
                  <c:v>173</c:v>
                </c:pt>
                <c:pt idx="534">
                  <c:v>174</c:v>
                </c:pt>
                <c:pt idx="535">
                  <c:v>175</c:v>
                </c:pt>
                <c:pt idx="536">
                  <c:v>176</c:v>
                </c:pt>
                <c:pt idx="537">
                  <c:v>177</c:v>
                </c:pt>
                <c:pt idx="538">
                  <c:v>178</c:v>
                </c:pt>
                <c:pt idx="539">
                  <c:v>179</c:v>
                </c:pt>
                <c:pt idx="540">
                  <c:v>180</c:v>
                </c:pt>
                <c:pt idx="541">
                  <c:v>181</c:v>
                </c:pt>
                <c:pt idx="542">
                  <c:v>182</c:v>
                </c:pt>
                <c:pt idx="543">
                  <c:v>183</c:v>
                </c:pt>
                <c:pt idx="544">
                  <c:v>184</c:v>
                </c:pt>
                <c:pt idx="545">
                  <c:v>185</c:v>
                </c:pt>
                <c:pt idx="546">
                  <c:v>186</c:v>
                </c:pt>
                <c:pt idx="547">
                  <c:v>187</c:v>
                </c:pt>
                <c:pt idx="548">
                  <c:v>188</c:v>
                </c:pt>
                <c:pt idx="549">
                  <c:v>189</c:v>
                </c:pt>
                <c:pt idx="550">
                  <c:v>190</c:v>
                </c:pt>
                <c:pt idx="551">
                  <c:v>191</c:v>
                </c:pt>
                <c:pt idx="552">
                  <c:v>192</c:v>
                </c:pt>
                <c:pt idx="553">
                  <c:v>193</c:v>
                </c:pt>
                <c:pt idx="554">
                  <c:v>194</c:v>
                </c:pt>
                <c:pt idx="555">
                  <c:v>195</c:v>
                </c:pt>
                <c:pt idx="556">
                  <c:v>196</c:v>
                </c:pt>
                <c:pt idx="557">
                  <c:v>197</c:v>
                </c:pt>
                <c:pt idx="558">
                  <c:v>198</c:v>
                </c:pt>
                <c:pt idx="559">
                  <c:v>199</c:v>
                </c:pt>
                <c:pt idx="560">
                  <c:v>200</c:v>
                </c:pt>
                <c:pt idx="561">
                  <c:v>201</c:v>
                </c:pt>
                <c:pt idx="562">
                  <c:v>202</c:v>
                </c:pt>
                <c:pt idx="563">
                  <c:v>203</c:v>
                </c:pt>
                <c:pt idx="564">
                  <c:v>204</c:v>
                </c:pt>
                <c:pt idx="565">
                  <c:v>205</c:v>
                </c:pt>
                <c:pt idx="566">
                  <c:v>206</c:v>
                </c:pt>
                <c:pt idx="567">
                  <c:v>207</c:v>
                </c:pt>
                <c:pt idx="568">
                  <c:v>208</c:v>
                </c:pt>
                <c:pt idx="569">
                  <c:v>209</c:v>
                </c:pt>
                <c:pt idx="570">
                  <c:v>210</c:v>
                </c:pt>
                <c:pt idx="571">
                  <c:v>211</c:v>
                </c:pt>
                <c:pt idx="572">
                  <c:v>212</c:v>
                </c:pt>
                <c:pt idx="573">
                  <c:v>213</c:v>
                </c:pt>
                <c:pt idx="574">
                  <c:v>214</c:v>
                </c:pt>
                <c:pt idx="575">
                  <c:v>215</c:v>
                </c:pt>
                <c:pt idx="576">
                  <c:v>216</c:v>
                </c:pt>
                <c:pt idx="577">
                  <c:v>217</c:v>
                </c:pt>
                <c:pt idx="578">
                  <c:v>218</c:v>
                </c:pt>
                <c:pt idx="579">
                  <c:v>219</c:v>
                </c:pt>
                <c:pt idx="580">
                  <c:v>220</c:v>
                </c:pt>
                <c:pt idx="581">
                  <c:v>221</c:v>
                </c:pt>
                <c:pt idx="582">
                  <c:v>222</c:v>
                </c:pt>
                <c:pt idx="583">
                  <c:v>223</c:v>
                </c:pt>
                <c:pt idx="584">
                  <c:v>224</c:v>
                </c:pt>
                <c:pt idx="585">
                  <c:v>225</c:v>
                </c:pt>
                <c:pt idx="586">
                  <c:v>226</c:v>
                </c:pt>
                <c:pt idx="587">
                  <c:v>227</c:v>
                </c:pt>
                <c:pt idx="588">
                  <c:v>228</c:v>
                </c:pt>
                <c:pt idx="589">
                  <c:v>229</c:v>
                </c:pt>
                <c:pt idx="590">
                  <c:v>230</c:v>
                </c:pt>
                <c:pt idx="591">
                  <c:v>231</c:v>
                </c:pt>
                <c:pt idx="592">
                  <c:v>232</c:v>
                </c:pt>
                <c:pt idx="593">
                  <c:v>233</c:v>
                </c:pt>
                <c:pt idx="594">
                  <c:v>234</c:v>
                </c:pt>
                <c:pt idx="595">
                  <c:v>235</c:v>
                </c:pt>
                <c:pt idx="596">
                  <c:v>236</c:v>
                </c:pt>
                <c:pt idx="597">
                  <c:v>237</c:v>
                </c:pt>
                <c:pt idx="598">
                  <c:v>238</c:v>
                </c:pt>
                <c:pt idx="599">
                  <c:v>239</c:v>
                </c:pt>
                <c:pt idx="600">
                  <c:v>240</c:v>
                </c:pt>
                <c:pt idx="601">
                  <c:v>241</c:v>
                </c:pt>
                <c:pt idx="602">
                  <c:v>242</c:v>
                </c:pt>
                <c:pt idx="603">
                  <c:v>243</c:v>
                </c:pt>
                <c:pt idx="604">
                  <c:v>244</c:v>
                </c:pt>
                <c:pt idx="605">
                  <c:v>245</c:v>
                </c:pt>
                <c:pt idx="606">
                  <c:v>246</c:v>
                </c:pt>
                <c:pt idx="607">
                  <c:v>247</c:v>
                </c:pt>
                <c:pt idx="608">
                  <c:v>248</c:v>
                </c:pt>
                <c:pt idx="609">
                  <c:v>249</c:v>
                </c:pt>
                <c:pt idx="610">
                  <c:v>250</c:v>
                </c:pt>
                <c:pt idx="611">
                  <c:v>251</c:v>
                </c:pt>
                <c:pt idx="612">
                  <c:v>252</c:v>
                </c:pt>
                <c:pt idx="613">
                  <c:v>253</c:v>
                </c:pt>
                <c:pt idx="614">
                  <c:v>254</c:v>
                </c:pt>
                <c:pt idx="615">
                  <c:v>255</c:v>
                </c:pt>
                <c:pt idx="616">
                  <c:v>256</c:v>
                </c:pt>
                <c:pt idx="617">
                  <c:v>257</c:v>
                </c:pt>
                <c:pt idx="618">
                  <c:v>258</c:v>
                </c:pt>
                <c:pt idx="619">
                  <c:v>259</c:v>
                </c:pt>
                <c:pt idx="620">
                  <c:v>260</c:v>
                </c:pt>
                <c:pt idx="621">
                  <c:v>261</c:v>
                </c:pt>
                <c:pt idx="622">
                  <c:v>262</c:v>
                </c:pt>
                <c:pt idx="623">
                  <c:v>263</c:v>
                </c:pt>
                <c:pt idx="624">
                  <c:v>264</c:v>
                </c:pt>
                <c:pt idx="625">
                  <c:v>265</c:v>
                </c:pt>
                <c:pt idx="626">
                  <c:v>266</c:v>
                </c:pt>
                <c:pt idx="627">
                  <c:v>267</c:v>
                </c:pt>
                <c:pt idx="628">
                  <c:v>268</c:v>
                </c:pt>
                <c:pt idx="629">
                  <c:v>269</c:v>
                </c:pt>
                <c:pt idx="630">
                  <c:v>270</c:v>
                </c:pt>
                <c:pt idx="631">
                  <c:v>271</c:v>
                </c:pt>
                <c:pt idx="632">
                  <c:v>272</c:v>
                </c:pt>
                <c:pt idx="633">
                  <c:v>273</c:v>
                </c:pt>
                <c:pt idx="634">
                  <c:v>274</c:v>
                </c:pt>
                <c:pt idx="635">
                  <c:v>275</c:v>
                </c:pt>
                <c:pt idx="636">
                  <c:v>276</c:v>
                </c:pt>
                <c:pt idx="637">
                  <c:v>277</c:v>
                </c:pt>
                <c:pt idx="638">
                  <c:v>278</c:v>
                </c:pt>
                <c:pt idx="639">
                  <c:v>279</c:v>
                </c:pt>
                <c:pt idx="640">
                  <c:v>280</c:v>
                </c:pt>
                <c:pt idx="641">
                  <c:v>281</c:v>
                </c:pt>
                <c:pt idx="642">
                  <c:v>282</c:v>
                </c:pt>
                <c:pt idx="643">
                  <c:v>283</c:v>
                </c:pt>
                <c:pt idx="644">
                  <c:v>284</c:v>
                </c:pt>
                <c:pt idx="645">
                  <c:v>285</c:v>
                </c:pt>
                <c:pt idx="646">
                  <c:v>286</c:v>
                </c:pt>
                <c:pt idx="647">
                  <c:v>287</c:v>
                </c:pt>
                <c:pt idx="648">
                  <c:v>288</c:v>
                </c:pt>
                <c:pt idx="649">
                  <c:v>289</c:v>
                </c:pt>
                <c:pt idx="650">
                  <c:v>290</c:v>
                </c:pt>
                <c:pt idx="651">
                  <c:v>291</c:v>
                </c:pt>
                <c:pt idx="652">
                  <c:v>292</c:v>
                </c:pt>
                <c:pt idx="653">
                  <c:v>293</c:v>
                </c:pt>
                <c:pt idx="654">
                  <c:v>294</c:v>
                </c:pt>
                <c:pt idx="655">
                  <c:v>295</c:v>
                </c:pt>
                <c:pt idx="656">
                  <c:v>296</c:v>
                </c:pt>
                <c:pt idx="657">
                  <c:v>297</c:v>
                </c:pt>
                <c:pt idx="658">
                  <c:v>298</c:v>
                </c:pt>
                <c:pt idx="659">
                  <c:v>299</c:v>
                </c:pt>
                <c:pt idx="660">
                  <c:v>300</c:v>
                </c:pt>
                <c:pt idx="661">
                  <c:v>301</c:v>
                </c:pt>
                <c:pt idx="662">
                  <c:v>302</c:v>
                </c:pt>
                <c:pt idx="663">
                  <c:v>303</c:v>
                </c:pt>
                <c:pt idx="664">
                  <c:v>304</c:v>
                </c:pt>
                <c:pt idx="665">
                  <c:v>305</c:v>
                </c:pt>
                <c:pt idx="666">
                  <c:v>306</c:v>
                </c:pt>
                <c:pt idx="667">
                  <c:v>307</c:v>
                </c:pt>
                <c:pt idx="668">
                  <c:v>308</c:v>
                </c:pt>
                <c:pt idx="669">
                  <c:v>309</c:v>
                </c:pt>
                <c:pt idx="670">
                  <c:v>310</c:v>
                </c:pt>
                <c:pt idx="671">
                  <c:v>311</c:v>
                </c:pt>
                <c:pt idx="672">
                  <c:v>312</c:v>
                </c:pt>
                <c:pt idx="673">
                  <c:v>313</c:v>
                </c:pt>
                <c:pt idx="674">
                  <c:v>314</c:v>
                </c:pt>
                <c:pt idx="675">
                  <c:v>315</c:v>
                </c:pt>
                <c:pt idx="676">
                  <c:v>316</c:v>
                </c:pt>
                <c:pt idx="677">
                  <c:v>317</c:v>
                </c:pt>
                <c:pt idx="678">
                  <c:v>318</c:v>
                </c:pt>
                <c:pt idx="679">
                  <c:v>319</c:v>
                </c:pt>
                <c:pt idx="680">
                  <c:v>320</c:v>
                </c:pt>
                <c:pt idx="681">
                  <c:v>321</c:v>
                </c:pt>
                <c:pt idx="682">
                  <c:v>322</c:v>
                </c:pt>
                <c:pt idx="683">
                  <c:v>323</c:v>
                </c:pt>
                <c:pt idx="684">
                  <c:v>324</c:v>
                </c:pt>
                <c:pt idx="685">
                  <c:v>325</c:v>
                </c:pt>
                <c:pt idx="686">
                  <c:v>326</c:v>
                </c:pt>
                <c:pt idx="687">
                  <c:v>327</c:v>
                </c:pt>
                <c:pt idx="688">
                  <c:v>328</c:v>
                </c:pt>
                <c:pt idx="689">
                  <c:v>329</c:v>
                </c:pt>
                <c:pt idx="690">
                  <c:v>330</c:v>
                </c:pt>
                <c:pt idx="691">
                  <c:v>331</c:v>
                </c:pt>
                <c:pt idx="692">
                  <c:v>332</c:v>
                </c:pt>
                <c:pt idx="693">
                  <c:v>333</c:v>
                </c:pt>
                <c:pt idx="694">
                  <c:v>334</c:v>
                </c:pt>
                <c:pt idx="695">
                  <c:v>335</c:v>
                </c:pt>
                <c:pt idx="696">
                  <c:v>336</c:v>
                </c:pt>
                <c:pt idx="697">
                  <c:v>337</c:v>
                </c:pt>
                <c:pt idx="698">
                  <c:v>338</c:v>
                </c:pt>
                <c:pt idx="699">
                  <c:v>339</c:v>
                </c:pt>
                <c:pt idx="700">
                  <c:v>340</c:v>
                </c:pt>
                <c:pt idx="701">
                  <c:v>341</c:v>
                </c:pt>
                <c:pt idx="702">
                  <c:v>342</c:v>
                </c:pt>
                <c:pt idx="703">
                  <c:v>343</c:v>
                </c:pt>
                <c:pt idx="704">
                  <c:v>344</c:v>
                </c:pt>
                <c:pt idx="705">
                  <c:v>345</c:v>
                </c:pt>
                <c:pt idx="706">
                  <c:v>346</c:v>
                </c:pt>
                <c:pt idx="707">
                  <c:v>347</c:v>
                </c:pt>
                <c:pt idx="708">
                  <c:v>348</c:v>
                </c:pt>
                <c:pt idx="709">
                  <c:v>349</c:v>
                </c:pt>
                <c:pt idx="710">
                  <c:v>350</c:v>
                </c:pt>
                <c:pt idx="711">
                  <c:v>351</c:v>
                </c:pt>
                <c:pt idx="712">
                  <c:v>352</c:v>
                </c:pt>
                <c:pt idx="713">
                  <c:v>353</c:v>
                </c:pt>
                <c:pt idx="714">
                  <c:v>354</c:v>
                </c:pt>
                <c:pt idx="715">
                  <c:v>355</c:v>
                </c:pt>
                <c:pt idx="716">
                  <c:v>356</c:v>
                </c:pt>
                <c:pt idx="717">
                  <c:v>357</c:v>
                </c:pt>
                <c:pt idx="718">
                  <c:v>358</c:v>
                </c:pt>
                <c:pt idx="719">
                  <c:v>359</c:v>
                </c:pt>
              </c:numCache>
            </c:numRef>
          </c:cat>
          <c:val>
            <c:numRef>
              <c:f>Data!$J$3:$J$722</c:f>
              <c:numCache>
                <c:formatCode>0.00</c:formatCode>
                <c:ptCount val="720"/>
              </c:numCache>
            </c:numRef>
          </c:val>
        </c:ser>
        <c:axId val="164440320"/>
        <c:axId val="164454400"/>
      </c:barChart>
      <c:catAx>
        <c:axId val="164440320"/>
        <c:scaling>
          <c:orientation val="minMax"/>
        </c:scaling>
        <c:axPos val="b"/>
        <c:numFmt formatCode="General" sourceLinked="1"/>
        <c:tickLblPos val="nextTo"/>
        <c:crossAx val="164454400"/>
        <c:crosses val="autoZero"/>
        <c:auto val="1"/>
        <c:lblAlgn val="ctr"/>
        <c:lblOffset val="100"/>
      </c:catAx>
      <c:valAx>
        <c:axId val="164454400"/>
        <c:scaling>
          <c:orientation val="minMax"/>
        </c:scaling>
        <c:axPos val="l"/>
        <c:majorGridlines/>
        <c:numFmt formatCode="0.00" sourceLinked="1"/>
        <c:tickLblPos val="nextTo"/>
        <c:crossAx val="1644403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style val="34"/>
  <c:chart>
    <c:plotArea>
      <c:layout/>
      <c:scatterChart>
        <c:scatterStyle val="smoothMarker"/>
        <c:ser>
          <c:idx val="0"/>
          <c:order val="0"/>
          <c:tx>
            <c:strRef>
              <c:f>Data!$J$2</c:f>
              <c:strCache>
                <c:ptCount val="1"/>
                <c:pt idx="0">
                  <c:v>Aspirazione</c:v>
                </c:pt>
              </c:strCache>
            </c:strRef>
          </c:tx>
          <c:marker>
            <c:symbol val="none"/>
          </c:marker>
          <c:xVal>
            <c:numRef>
              <c:f>Data!$H$3:$H$722</c:f>
              <c:numCache>
                <c:formatCode>General</c:formatCode>
                <c:ptCount val="720"/>
                <c:pt idx="0">
                  <c:v>-360</c:v>
                </c:pt>
                <c:pt idx="1">
                  <c:v>-359</c:v>
                </c:pt>
                <c:pt idx="2">
                  <c:v>-358</c:v>
                </c:pt>
                <c:pt idx="3">
                  <c:v>-357</c:v>
                </c:pt>
                <c:pt idx="4">
                  <c:v>-356</c:v>
                </c:pt>
                <c:pt idx="5">
                  <c:v>-355</c:v>
                </c:pt>
                <c:pt idx="6">
                  <c:v>-354</c:v>
                </c:pt>
                <c:pt idx="7">
                  <c:v>-353</c:v>
                </c:pt>
                <c:pt idx="8">
                  <c:v>-352</c:v>
                </c:pt>
                <c:pt idx="9">
                  <c:v>-351</c:v>
                </c:pt>
                <c:pt idx="10">
                  <c:v>-350</c:v>
                </c:pt>
                <c:pt idx="11">
                  <c:v>-349</c:v>
                </c:pt>
                <c:pt idx="12">
                  <c:v>-348</c:v>
                </c:pt>
                <c:pt idx="13">
                  <c:v>-347</c:v>
                </c:pt>
                <c:pt idx="14">
                  <c:v>-346</c:v>
                </c:pt>
                <c:pt idx="15">
                  <c:v>-345</c:v>
                </c:pt>
                <c:pt idx="16">
                  <c:v>-344</c:v>
                </c:pt>
                <c:pt idx="17">
                  <c:v>-343</c:v>
                </c:pt>
                <c:pt idx="18">
                  <c:v>-342</c:v>
                </c:pt>
                <c:pt idx="19">
                  <c:v>-341</c:v>
                </c:pt>
                <c:pt idx="20">
                  <c:v>-340</c:v>
                </c:pt>
                <c:pt idx="21">
                  <c:v>-339</c:v>
                </c:pt>
                <c:pt idx="22">
                  <c:v>-338</c:v>
                </c:pt>
                <c:pt idx="23">
                  <c:v>-337</c:v>
                </c:pt>
                <c:pt idx="24">
                  <c:v>-336</c:v>
                </c:pt>
                <c:pt idx="25">
                  <c:v>-335</c:v>
                </c:pt>
                <c:pt idx="26">
                  <c:v>-334</c:v>
                </c:pt>
                <c:pt idx="27">
                  <c:v>-333</c:v>
                </c:pt>
                <c:pt idx="28">
                  <c:v>-332</c:v>
                </c:pt>
                <c:pt idx="29">
                  <c:v>-331</c:v>
                </c:pt>
                <c:pt idx="30">
                  <c:v>-330</c:v>
                </c:pt>
                <c:pt idx="31">
                  <c:v>-329</c:v>
                </c:pt>
                <c:pt idx="32">
                  <c:v>-328</c:v>
                </c:pt>
                <c:pt idx="33">
                  <c:v>-327</c:v>
                </c:pt>
                <c:pt idx="34">
                  <c:v>-326</c:v>
                </c:pt>
                <c:pt idx="35">
                  <c:v>-325</c:v>
                </c:pt>
                <c:pt idx="36">
                  <c:v>-324</c:v>
                </c:pt>
                <c:pt idx="37">
                  <c:v>-323</c:v>
                </c:pt>
                <c:pt idx="38">
                  <c:v>-322</c:v>
                </c:pt>
                <c:pt idx="39">
                  <c:v>-321</c:v>
                </c:pt>
                <c:pt idx="40">
                  <c:v>-320</c:v>
                </c:pt>
                <c:pt idx="41">
                  <c:v>-319</c:v>
                </c:pt>
                <c:pt idx="42">
                  <c:v>-318</c:v>
                </c:pt>
                <c:pt idx="43">
                  <c:v>-317</c:v>
                </c:pt>
                <c:pt idx="44">
                  <c:v>-316</c:v>
                </c:pt>
                <c:pt idx="45">
                  <c:v>-315</c:v>
                </c:pt>
                <c:pt idx="46">
                  <c:v>-314</c:v>
                </c:pt>
                <c:pt idx="47">
                  <c:v>-313</c:v>
                </c:pt>
                <c:pt idx="48">
                  <c:v>-312</c:v>
                </c:pt>
                <c:pt idx="49">
                  <c:v>-311</c:v>
                </c:pt>
                <c:pt idx="50">
                  <c:v>-310</c:v>
                </c:pt>
                <c:pt idx="51">
                  <c:v>-309</c:v>
                </c:pt>
                <c:pt idx="52">
                  <c:v>-308</c:v>
                </c:pt>
                <c:pt idx="53">
                  <c:v>-307</c:v>
                </c:pt>
                <c:pt idx="54">
                  <c:v>-306</c:v>
                </c:pt>
                <c:pt idx="55">
                  <c:v>-305</c:v>
                </c:pt>
                <c:pt idx="56">
                  <c:v>-304</c:v>
                </c:pt>
                <c:pt idx="57">
                  <c:v>-303</c:v>
                </c:pt>
                <c:pt idx="58">
                  <c:v>-302</c:v>
                </c:pt>
                <c:pt idx="59">
                  <c:v>-301</c:v>
                </c:pt>
                <c:pt idx="60">
                  <c:v>-300</c:v>
                </c:pt>
                <c:pt idx="61">
                  <c:v>-299</c:v>
                </c:pt>
                <c:pt idx="62">
                  <c:v>-298</c:v>
                </c:pt>
                <c:pt idx="63">
                  <c:v>-297</c:v>
                </c:pt>
                <c:pt idx="64">
                  <c:v>-296</c:v>
                </c:pt>
                <c:pt idx="65">
                  <c:v>-295</c:v>
                </c:pt>
                <c:pt idx="66">
                  <c:v>-294</c:v>
                </c:pt>
                <c:pt idx="67">
                  <c:v>-293</c:v>
                </c:pt>
                <c:pt idx="68">
                  <c:v>-292</c:v>
                </c:pt>
                <c:pt idx="69">
                  <c:v>-291</c:v>
                </c:pt>
                <c:pt idx="70">
                  <c:v>-290</c:v>
                </c:pt>
                <c:pt idx="71">
                  <c:v>-289</c:v>
                </c:pt>
                <c:pt idx="72">
                  <c:v>-288</c:v>
                </c:pt>
                <c:pt idx="73">
                  <c:v>-287</c:v>
                </c:pt>
                <c:pt idx="74">
                  <c:v>-286</c:v>
                </c:pt>
                <c:pt idx="75">
                  <c:v>-285</c:v>
                </c:pt>
                <c:pt idx="76">
                  <c:v>-284</c:v>
                </c:pt>
                <c:pt idx="77">
                  <c:v>-283</c:v>
                </c:pt>
                <c:pt idx="78">
                  <c:v>-282</c:v>
                </c:pt>
                <c:pt idx="79">
                  <c:v>-281</c:v>
                </c:pt>
                <c:pt idx="80">
                  <c:v>-280</c:v>
                </c:pt>
                <c:pt idx="81">
                  <c:v>-279</c:v>
                </c:pt>
                <c:pt idx="82">
                  <c:v>-278</c:v>
                </c:pt>
                <c:pt idx="83">
                  <c:v>-277</c:v>
                </c:pt>
                <c:pt idx="84">
                  <c:v>-276</c:v>
                </c:pt>
                <c:pt idx="85">
                  <c:v>-275</c:v>
                </c:pt>
                <c:pt idx="86">
                  <c:v>-274</c:v>
                </c:pt>
                <c:pt idx="87">
                  <c:v>-273</c:v>
                </c:pt>
                <c:pt idx="88">
                  <c:v>-272</c:v>
                </c:pt>
                <c:pt idx="89">
                  <c:v>-271</c:v>
                </c:pt>
                <c:pt idx="90">
                  <c:v>-270</c:v>
                </c:pt>
                <c:pt idx="91">
                  <c:v>-269</c:v>
                </c:pt>
                <c:pt idx="92">
                  <c:v>-268</c:v>
                </c:pt>
                <c:pt idx="93">
                  <c:v>-267</c:v>
                </c:pt>
                <c:pt idx="94">
                  <c:v>-266</c:v>
                </c:pt>
                <c:pt idx="95">
                  <c:v>-265</c:v>
                </c:pt>
                <c:pt idx="96">
                  <c:v>-264</c:v>
                </c:pt>
                <c:pt idx="97">
                  <c:v>-263</c:v>
                </c:pt>
                <c:pt idx="98">
                  <c:v>-262</c:v>
                </c:pt>
                <c:pt idx="99">
                  <c:v>-261</c:v>
                </c:pt>
                <c:pt idx="100">
                  <c:v>-260</c:v>
                </c:pt>
                <c:pt idx="101">
                  <c:v>-259</c:v>
                </c:pt>
                <c:pt idx="102">
                  <c:v>-258</c:v>
                </c:pt>
                <c:pt idx="103">
                  <c:v>-257</c:v>
                </c:pt>
                <c:pt idx="104">
                  <c:v>-256</c:v>
                </c:pt>
                <c:pt idx="105">
                  <c:v>-255</c:v>
                </c:pt>
                <c:pt idx="106">
                  <c:v>-254</c:v>
                </c:pt>
                <c:pt idx="107">
                  <c:v>-253</c:v>
                </c:pt>
                <c:pt idx="108">
                  <c:v>-252</c:v>
                </c:pt>
                <c:pt idx="109">
                  <c:v>-251</c:v>
                </c:pt>
                <c:pt idx="110">
                  <c:v>-250</c:v>
                </c:pt>
                <c:pt idx="111">
                  <c:v>-249</c:v>
                </c:pt>
                <c:pt idx="112">
                  <c:v>-248</c:v>
                </c:pt>
                <c:pt idx="113">
                  <c:v>-247</c:v>
                </c:pt>
                <c:pt idx="114">
                  <c:v>-246</c:v>
                </c:pt>
                <c:pt idx="115">
                  <c:v>-245</c:v>
                </c:pt>
                <c:pt idx="116">
                  <c:v>-244</c:v>
                </c:pt>
                <c:pt idx="117">
                  <c:v>-243</c:v>
                </c:pt>
                <c:pt idx="118">
                  <c:v>-242</c:v>
                </c:pt>
                <c:pt idx="119">
                  <c:v>-241</c:v>
                </c:pt>
                <c:pt idx="120">
                  <c:v>-240</c:v>
                </c:pt>
                <c:pt idx="121">
                  <c:v>-239</c:v>
                </c:pt>
                <c:pt idx="122">
                  <c:v>-238</c:v>
                </c:pt>
                <c:pt idx="123">
                  <c:v>-237</c:v>
                </c:pt>
                <c:pt idx="124">
                  <c:v>-236</c:v>
                </c:pt>
                <c:pt idx="125">
                  <c:v>-235</c:v>
                </c:pt>
                <c:pt idx="126">
                  <c:v>-234</c:v>
                </c:pt>
                <c:pt idx="127">
                  <c:v>-233</c:v>
                </c:pt>
                <c:pt idx="128">
                  <c:v>-232</c:v>
                </c:pt>
                <c:pt idx="129">
                  <c:v>-231</c:v>
                </c:pt>
                <c:pt idx="130">
                  <c:v>-230</c:v>
                </c:pt>
                <c:pt idx="131">
                  <c:v>-229</c:v>
                </c:pt>
                <c:pt idx="132">
                  <c:v>-228</c:v>
                </c:pt>
                <c:pt idx="133">
                  <c:v>-227</c:v>
                </c:pt>
                <c:pt idx="134">
                  <c:v>-226</c:v>
                </c:pt>
                <c:pt idx="135">
                  <c:v>-225</c:v>
                </c:pt>
                <c:pt idx="136">
                  <c:v>-224</c:v>
                </c:pt>
                <c:pt idx="137">
                  <c:v>-223</c:v>
                </c:pt>
                <c:pt idx="138">
                  <c:v>-222</c:v>
                </c:pt>
                <c:pt idx="139">
                  <c:v>-221</c:v>
                </c:pt>
                <c:pt idx="140">
                  <c:v>-220</c:v>
                </c:pt>
                <c:pt idx="141">
                  <c:v>-219</c:v>
                </c:pt>
                <c:pt idx="142">
                  <c:v>-218</c:v>
                </c:pt>
                <c:pt idx="143">
                  <c:v>-217</c:v>
                </c:pt>
                <c:pt idx="144">
                  <c:v>-216</c:v>
                </c:pt>
                <c:pt idx="145">
                  <c:v>-215</c:v>
                </c:pt>
                <c:pt idx="146">
                  <c:v>-214</c:v>
                </c:pt>
                <c:pt idx="147">
                  <c:v>-213</c:v>
                </c:pt>
                <c:pt idx="148">
                  <c:v>-212</c:v>
                </c:pt>
                <c:pt idx="149">
                  <c:v>-211</c:v>
                </c:pt>
                <c:pt idx="150">
                  <c:v>-210</c:v>
                </c:pt>
                <c:pt idx="151">
                  <c:v>-209</c:v>
                </c:pt>
                <c:pt idx="152">
                  <c:v>-208</c:v>
                </c:pt>
                <c:pt idx="153">
                  <c:v>-207</c:v>
                </c:pt>
                <c:pt idx="154">
                  <c:v>-206</c:v>
                </c:pt>
                <c:pt idx="155">
                  <c:v>-205</c:v>
                </c:pt>
                <c:pt idx="156">
                  <c:v>-204</c:v>
                </c:pt>
                <c:pt idx="157">
                  <c:v>-203</c:v>
                </c:pt>
                <c:pt idx="158">
                  <c:v>-202</c:v>
                </c:pt>
                <c:pt idx="159">
                  <c:v>-201</c:v>
                </c:pt>
                <c:pt idx="160">
                  <c:v>-200</c:v>
                </c:pt>
                <c:pt idx="161">
                  <c:v>-199</c:v>
                </c:pt>
                <c:pt idx="162">
                  <c:v>-198</c:v>
                </c:pt>
                <c:pt idx="163">
                  <c:v>-197</c:v>
                </c:pt>
                <c:pt idx="164">
                  <c:v>-196</c:v>
                </c:pt>
                <c:pt idx="165">
                  <c:v>-195</c:v>
                </c:pt>
                <c:pt idx="166">
                  <c:v>-194</c:v>
                </c:pt>
                <c:pt idx="167">
                  <c:v>-193</c:v>
                </c:pt>
                <c:pt idx="168">
                  <c:v>-192</c:v>
                </c:pt>
                <c:pt idx="169">
                  <c:v>-191</c:v>
                </c:pt>
                <c:pt idx="170">
                  <c:v>-190</c:v>
                </c:pt>
                <c:pt idx="171">
                  <c:v>-189</c:v>
                </c:pt>
                <c:pt idx="172">
                  <c:v>-188</c:v>
                </c:pt>
                <c:pt idx="173">
                  <c:v>-187</c:v>
                </c:pt>
                <c:pt idx="174">
                  <c:v>-186</c:v>
                </c:pt>
                <c:pt idx="175">
                  <c:v>-185</c:v>
                </c:pt>
                <c:pt idx="176">
                  <c:v>-184</c:v>
                </c:pt>
                <c:pt idx="177">
                  <c:v>-183</c:v>
                </c:pt>
                <c:pt idx="178">
                  <c:v>-182</c:v>
                </c:pt>
                <c:pt idx="179">
                  <c:v>-181</c:v>
                </c:pt>
                <c:pt idx="180">
                  <c:v>-180</c:v>
                </c:pt>
                <c:pt idx="181">
                  <c:v>-179</c:v>
                </c:pt>
                <c:pt idx="182">
                  <c:v>-178</c:v>
                </c:pt>
                <c:pt idx="183">
                  <c:v>-177</c:v>
                </c:pt>
                <c:pt idx="184">
                  <c:v>-176</c:v>
                </c:pt>
                <c:pt idx="185">
                  <c:v>-175</c:v>
                </c:pt>
                <c:pt idx="186">
                  <c:v>-174</c:v>
                </c:pt>
                <c:pt idx="187">
                  <c:v>-173</c:v>
                </c:pt>
                <c:pt idx="188">
                  <c:v>-172</c:v>
                </c:pt>
                <c:pt idx="189">
                  <c:v>-171</c:v>
                </c:pt>
                <c:pt idx="190">
                  <c:v>-170</c:v>
                </c:pt>
                <c:pt idx="191">
                  <c:v>-169</c:v>
                </c:pt>
                <c:pt idx="192">
                  <c:v>-168</c:v>
                </c:pt>
                <c:pt idx="193">
                  <c:v>-167</c:v>
                </c:pt>
                <c:pt idx="194">
                  <c:v>-166</c:v>
                </c:pt>
                <c:pt idx="195">
                  <c:v>-165</c:v>
                </c:pt>
                <c:pt idx="196">
                  <c:v>-164</c:v>
                </c:pt>
                <c:pt idx="197">
                  <c:v>-163</c:v>
                </c:pt>
                <c:pt idx="198">
                  <c:v>-162</c:v>
                </c:pt>
                <c:pt idx="199">
                  <c:v>-161</c:v>
                </c:pt>
                <c:pt idx="200">
                  <c:v>-160</c:v>
                </c:pt>
                <c:pt idx="201">
                  <c:v>-159</c:v>
                </c:pt>
                <c:pt idx="202">
                  <c:v>-158</c:v>
                </c:pt>
                <c:pt idx="203">
                  <c:v>-157</c:v>
                </c:pt>
                <c:pt idx="204">
                  <c:v>-156</c:v>
                </c:pt>
                <c:pt idx="205">
                  <c:v>-155</c:v>
                </c:pt>
                <c:pt idx="206">
                  <c:v>-154</c:v>
                </c:pt>
                <c:pt idx="207">
                  <c:v>-153</c:v>
                </c:pt>
                <c:pt idx="208">
                  <c:v>-152</c:v>
                </c:pt>
                <c:pt idx="209">
                  <c:v>-151</c:v>
                </c:pt>
                <c:pt idx="210">
                  <c:v>-150</c:v>
                </c:pt>
                <c:pt idx="211">
                  <c:v>-149</c:v>
                </c:pt>
                <c:pt idx="212">
                  <c:v>-148</c:v>
                </c:pt>
                <c:pt idx="213">
                  <c:v>-147</c:v>
                </c:pt>
                <c:pt idx="214">
                  <c:v>-146</c:v>
                </c:pt>
                <c:pt idx="215">
                  <c:v>-145</c:v>
                </c:pt>
                <c:pt idx="216">
                  <c:v>-144</c:v>
                </c:pt>
                <c:pt idx="217">
                  <c:v>-143</c:v>
                </c:pt>
                <c:pt idx="218">
                  <c:v>-142</c:v>
                </c:pt>
                <c:pt idx="219">
                  <c:v>-141</c:v>
                </c:pt>
                <c:pt idx="220">
                  <c:v>-140</c:v>
                </c:pt>
                <c:pt idx="221">
                  <c:v>-139</c:v>
                </c:pt>
                <c:pt idx="222">
                  <c:v>-138</c:v>
                </c:pt>
                <c:pt idx="223">
                  <c:v>-137</c:v>
                </c:pt>
                <c:pt idx="224">
                  <c:v>-136</c:v>
                </c:pt>
                <c:pt idx="225">
                  <c:v>-135</c:v>
                </c:pt>
                <c:pt idx="226">
                  <c:v>-134</c:v>
                </c:pt>
                <c:pt idx="227">
                  <c:v>-133</c:v>
                </c:pt>
                <c:pt idx="228">
                  <c:v>-132</c:v>
                </c:pt>
                <c:pt idx="229">
                  <c:v>-131</c:v>
                </c:pt>
                <c:pt idx="230">
                  <c:v>-130</c:v>
                </c:pt>
                <c:pt idx="231">
                  <c:v>-129</c:v>
                </c:pt>
                <c:pt idx="232">
                  <c:v>-128</c:v>
                </c:pt>
                <c:pt idx="233">
                  <c:v>-127</c:v>
                </c:pt>
                <c:pt idx="234">
                  <c:v>-126</c:v>
                </c:pt>
                <c:pt idx="235">
                  <c:v>-125</c:v>
                </c:pt>
                <c:pt idx="236">
                  <c:v>-124</c:v>
                </c:pt>
                <c:pt idx="237">
                  <c:v>-123</c:v>
                </c:pt>
                <c:pt idx="238">
                  <c:v>-122</c:v>
                </c:pt>
                <c:pt idx="239">
                  <c:v>-121</c:v>
                </c:pt>
                <c:pt idx="240">
                  <c:v>-120</c:v>
                </c:pt>
                <c:pt idx="241">
                  <c:v>-119</c:v>
                </c:pt>
                <c:pt idx="242">
                  <c:v>-118</c:v>
                </c:pt>
                <c:pt idx="243">
                  <c:v>-117</c:v>
                </c:pt>
                <c:pt idx="244">
                  <c:v>-116</c:v>
                </c:pt>
                <c:pt idx="245">
                  <c:v>-115</c:v>
                </c:pt>
                <c:pt idx="246">
                  <c:v>-114</c:v>
                </c:pt>
                <c:pt idx="247">
                  <c:v>-113</c:v>
                </c:pt>
                <c:pt idx="248">
                  <c:v>-112</c:v>
                </c:pt>
                <c:pt idx="249">
                  <c:v>-111</c:v>
                </c:pt>
                <c:pt idx="250">
                  <c:v>-110</c:v>
                </c:pt>
                <c:pt idx="251">
                  <c:v>-109</c:v>
                </c:pt>
                <c:pt idx="252">
                  <c:v>-108</c:v>
                </c:pt>
                <c:pt idx="253">
                  <c:v>-107</c:v>
                </c:pt>
                <c:pt idx="254">
                  <c:v>-106</c:v>
                </c:pt>
                <c:pt idx="255">
                  <c:v>-105</c:v>
                </c:pt>
                <c:pt idx="256">
                  <c:v>-104</c:v>
                </c:pt>
                <c:pt idx="257">
                  <c:v>-103</c:v>
                </c:pt>
                <c:pt idx="258">
                  <c:v>-102</c:v>
                </c:pt>
                <c:pt idx="259">
                  <c:v>-101</c:v>
                </c:pt>
                <c:pt idx="260">
                  <c:v>-100</c:v>
                </c:pt>
                <c:pt idx="261">
                  <c:v>-99</c:v>
                </c:pt>
                <c:pt idx="262">
                  <c:v>-98</c:v>
                </c:pt>
                <c:pt idx="263">
                  <c:v>-97</c:v>
                </c:pt>
                <c:pt idx="264">
                  <c:v>-96</c:v>
                </c:pt>
                <c:pt idx="265">
                  <c:v>-95</c:v>
                </c:pt>
                <c:pt idx="266">
                  <c:v>-94</c:v>
                </c:pt>
                <c:pt idx="267">
                  <c:v>-93</c:v>
                </c:pt>
                <c:pt idx="268">
                  <c:v>-92</c:v>
                </c:pt>
                <c:pt idx="269">
                  <c:v>-91</c:v>
                </c:pt>
                <c:pt idx="270">
                  <c:v>-90</c:v>
                </c:pt>
                <c:pt idx="271">
                  <c:v>-89</c:v>
                </c:pt>
                <c:pt idx="272">
                  <c:v>-88</c:v>
                </c:pt>
                <c:pt idx="273">
                  <c:v>-87</c:v>
                </c:pt>
                <c:pt idx="274">
                  <c:v>-86</c:v>
                </c:pt>
                <c:pt idx="275">
                  <c:v>-85</c:v>
                </c:pt>
                <c:pt idx="276">
                  <c:v>-84</c:v>
                </c:pt>
                <c:pt idx="277">
                  <c:v>-83</c:v>
                </c:pt>
                <c:pt idx="278">
                  <c:v>-82</c:v>
                </c:pt>
                <c:pt idx="279">
                  <c:v>-81</c:v>
                </c:pt>
                <c:pt idx="280">
                  <c:v>-80</c:v>
                </c:pt>
                <c:pt idx="281">
                  <c:v>-79</c:v>
                </c:pt>
                <c:pt idx="282">
                  <c:v>-78</c:v>
                </c:pt>
                <c:pt idx="283">
                  <c:v>-77</c:v>
                </c:pt>
                <c:pt idx="284">
                  <c:v>-76</c:v>
                </c:pt>
                <c:pt idx="285">
                  <c:v>-75</c:v>
                </c:pt>
                <c:pt idx="286">
                  <c:v>-74</c:v>
                </c:pt>
                <c:pt idx="287">
                  <c:v>-73</c:v>
                </c:pt>
                <c:pt idx="288">
                  <c:v>-72</c:v>
                </c:pt>
                <c:pt idx="289">
                  <c:v>-71</c:v>
                </c:pt>
                <c:pt idx="290">
                  <c:v>-70</c:v>
                </c:pt>
                <c:pt idx="291">
                  <c:v>-69</c:v>
                </c:pt>
                <c:pt idx="292">
                  <c:v>-68</c:v>
                </c:pt>
                <c:pt idx="293">
                  <c:v>-67</c:v>
                </c:pt>
                <c:pt idx="294">
                  <c:v>-66</c:v>
                </c:pt>
                <c:pt idx="295">
                  <c:v>-65</c:v>
                </c:pt>
                <c:pt idx="296">
                  <c:v>-64</c:v>
                </c:pt>
                <c:pt idx="297">
                  <c:v>-63</c:v>
                </c:pt>
                <c:pt idx="298">
                  <c:v>-62</c:v>
                </c:pt>
                <c:pt idx="299">
                  <c:v>-61</c:v>
                </c:pt>
                <c:pt idx="300">
                  <c:v>-60</c:v>
                </c:pt>
                <c:pt idx="301">
                  <c:v>-59</c:v>
                </c:pt>
                <c:pt idx="302">
                  <c:v>-58</c:v>
                </c:pt>
                <c:pt idx="303">
                  <c:v>-57</c:v>
                </c:pt>
                <c:pt idx="304">
                  <c:v>-56</c:v>
                </c:pt>
                <c:pt idx="305">
                  <c:v>-55</c:v>
                </c:pt>
                <c:pt idx="306">
                  <c:v>-54</c:v>
                </c:pt>
                <c:pt idx="307">
                  <c:v>-53</c:v>
                </c:pt>
                <c:pt idx="308">
                  <c:v>-52</c:v>
                </c:pt>
                <c:pt idx="309">
                  <c:v>-51</c:v>
                </c:pt>
                <c:pt idx="310">
                  <c:v>-50</c:v>
                </c:pt>
                <c:pt idx="311">
                  <c:v>-49</c:v>
                </c:pt>
                <c:pt idx="312">
                  <c:v>-48</c:v>
                </c:pt>
                <c:pt idx="313">
                  <c:v>-47</c:v>
                </c:pt>
                <c:pt idx="314">
                  <c:v>-46</c:v>
                </c:pt>
                <c:pt idx="315">
                  <c:v>-45</c:v>
                </c:pt>
                <c:pt idx="316">
                  <c:v>-44</c:v>
                </c:pt>
                <c:pt idx="317">
                  <c:v>-43</c:v>
                </c:pt>
                <c:pt idx="318">
                  <c:v>-42</c:v>
                </c:pt>
                <c:pt idx="319">
                  <c:v>-41</c:v>
                </c:pt>
                <c:pt idx="320">
                  <c:v>-40</c:v>
                </c:pt>
                <c:pt idx="321">
                  <c:v>-39</c:v>
                </c:pt>
                <c:pt idx="322">
                  <c:v>-38</c:v>
                </c:pt>
                <c:pt idx="323">
                  <c:v>-37</c:v>
                </c:pt>
                <c:pt idx="324">
                  <c:v>-36</c:v>
                </c:pt>
                <c:pt idx="325">
                  <c:v>-35</c:v>
                </c:pt>
                <c:pt idx="326">
                  <c:v>-34</c:v>
                </c:pt>
                <c:pt idx="327">
                  <c:v>-33</c:v>
                </c:pt>
                <c:pt idx="328">
                  <c:v>-32</c:v>
                </c:pt>
                <c:pt idx="329">
                  <c:v>-31</c:v>
                </c:pt>
                <c:pt idx="330">
                  <c:v>-30</c:v>
                </c:pt>
                <c:pt idx="331">
                  <c:v>-29</c:v>
                </c:pt>
                <c:pt idx="332">
                  <c:v>-28</c:v>
                </c:pt>
                <c:pt idx="333">
                  <c:v>-27</c:v>
                </c:pt>
                <c:pt idx="334">
                  <c:v>-26</c:v>
                </c:pt>
                <c:pt idx="335">
                  <c:v>-25</c:v>
                </c:pt>
                <c:pt idx="336">
                  <c:v>-24</c:v>
                </c:pt>
                <c:pt idx="337">
                  <c:v>-23</c:v>
                </c:pt>
                <c:pt idx="338">
                  <c:v>-22</c:v>
                </c:pt>
                <c:pt idx="339">
                  <c:v>-21</c:v>
                </c:pt>
                <c:pt idx="340">
                  <c:v>-20</c:v>
                </c:pt>
                <c:pt idx="341">
                  <c:v>-19</c:v>
                </c:pt>
                <c:pt idx="342">
                  <c:v>-18</c:v>
                </c:pt>
                <c:pt idx="343">
                  <c:v>-17</c:v>
                </c:pt>
                <c:pt idx="344">
                  <c:v>-16</c:v>
                </c:pt>
                <c:pt idx="345">
                  <c:v>-15</c:v>
                </c:pt>
                <c:pt idx="346">
                  <c:v>-14</c:v>
                </c:pt>
                <c:pt idx="347">
                  <c:v>-13</c:v>
                </c:pt>
                <c:pt idx="348">
                  <c:v>-12</c:v>
                </c:pt>
                <c:pt idx="349">
                  <c:v>-11</c:v>
                </c:pt>
                <c:pt idx="350">
                  <c:v>-10</c:v>
                </c:pt>
                <c:pt idx="351">
                  <c:v>-9</c:v>
                </c:pt>
                <c:pt idx="352">
                  <c:v>-8</c:v>
                </c:pt>
                <c:pt idx="353">
                  <c:v>-7</c:v>
                </c:pt>
                <c:pt idx="354">
                  <c:v>-6</c:v>
                </c:pt>
                <c:pt idx="355">
                  <c:v>-5</c:v>
                </c:pt>
                <c:pt idx="356">
                  <c:v>-4</c:v>
                </c:pt>
                <c:pt idx="357">
                  <c:v>-3</c:v>
                </c:pt>
                <c:pt idx="358">
                  <c:v>-2</c:v>
                </c:pt>
                <c:pt idx="359">
                  <c:v>-1</c:v>
                </c:pt>
                <c:pt idx="360">
                  <c:v>0</c:v>
                </c:pt>
                <c:pt idx="361">
                  <c:v>1</c:v>
                </c:pt>
                <c:pt idx="362">
                  <c:v>2</c:v>
                </c:pt>
                <c:pt idx="363">
                  <c:v>3</c:v>
                </c:pt>
                <c:pt idx="364">
                  <c:v>4</c:v>
                </c:pt>
                <c:pt idx="365">
                  <c:v>5</c:v>
                </c:pt>
                <c:pt idx="366">
                  <c:v>6</c:v>
                </c:pt>
                <c:pt idx="367">
                  <c:v>7</c:v>
                </c:pt>
                <c:pt idx="368">
                  <c:v>8</c:v>
                </c:pt>
                <c:pt idx="369">
                  <c:v>9</c:v>
                </c:pt>
                <c:pt idx="370">
                  <c:v>10</c:v>
                </c:pt>
                <c:pt idx="371">
                  <c:v>11</c:v>
                </c:pt>
                <c:pt idx="372">
                  <c:v>12</c:v>
                </c:pt>
                <c:pt idx="373">
                  <c:v>13</c:v>
                </c:pt>
                <c:pt idx="374">
                  <c:v>14</c:v>
                </c:pt>
                <c:pt idx="375">
                  <c:v>15</c:v>
                </c:pt>
                <c:pt idx="376">
                  <c:v>16</c:v>
                </c:pt>
                <c:pt idx="377">
                  <c:v>17</c:v>
                </c:pt>
                <c:pt idx="378">
                  <c:v>18</c:v>
                </c:pt>
                <c:pt idx="379">
                  <c:v>19</c:v>
                </c:pt>
                <c:pt idx="380">
                  <c:v>20</c:v>
                </c:pt>
                <c:pt idx="381">
                  <c:v>21</c:v>
                </c:pt>
                <c:pt idx="382">
                  <c:v>22</c:v>
                </c:pt>
                <c:pt idx="383">
                  <c:v>23</c:v>
                </c:pt>
                <c:pt idx="384">
                  <c:v>24</c:v>
                </c:pt>
                <c:pt idx="385">
                  <c:v>25</c:v>
                </c:pt>
                <c:pt idx="386">
                  <c:v>26</c:v>
                </c:pt>
                <c:pt idx="387">
                  <c:v>27</c:v>
                </c:pt>
                <c:pt idx="388">
                  <c:v>28</c:v>
                </c:pt>
                <c:pt idx="389">
                  <c:v>29</c:v>
                </c:pt>
                <c:pt idx="390">
                  <c:v>30</c:v>
                </c:pt>
                <c:pt idx="391">
                  <c:v>31</c:v>
                </c:pt>
                <c:pt idx="392">
                  <c:v>32</c:v>
                </c:pt>
                <c:pt idx="393">
                  <c:v>33</c:v>
                </c:pt>
                <c:pt idx="394">
                  <c:v>34</c:v>
                </c:pt>
                <c:pt idx="395">
                  <c:v>35</c:v>
                </c:pt>
                <c:pt idx="396">
                  <c:v>36</c:v>
                </c:pt>
                <c:pt idx="397">
                  <c:v>37</c:v>
                </c:pt>
                <c:pt idx="398">
                  <c:v>38</c:v>
                </c:pt>
                <c:pt idx="399">
                  <c:v>39</c:v>
                </c:pt>
                <c:pt idx="400">
                  <c:v>40</c:v>
                </c:pt>
                <c:pt idx="401">
                  <c:v>41</c:v>
                </c:pt>
                <c:pt idx="402">
                  <c:v>42</c:v>
                </c:pt>
                <c:pt idx="403">
                  <c:v>43</c:v>
                </c:pt>
                <c:pt idx="404">
                  <c:v>44</c:v>
                </c:pt>
                <c:pt idx="405">
                  <c:v>45</c:v>
                </c:pt>
                <c:pt idx="406">
                  <c:v>46</c:v>
                </c:pt>
                <c:pt idx="407">
                  <c:v>47</c:v>
                </c:pt>
                <c:pt idx="408">
                  <c:v>48</c:v>
                </c:pt>
                <c:pt idx="409">
                  <c:v>49</c:v>
                </c:pt>
                <c:pt idx="410">
                  <c:v>50</c:v>
                </c:pt>
                <c:pt idx="411">
                  <c:v>51</c:v>
                </c:pt>
                <c:pt idx="412">
                  <c:v>52</c:v>
                </c:pt>
                <c:pt idx="413">
                  <c:v>53</c:v>
                </c:pt>
                <c:pt idx="414">
                  <c:v>54</c:v>
                </c:pt>
                <c:pt idx="415">
                  <c:v>55</c:v>
                </c:pt>
                <c:pt idx="416">
                  <c:v>56</c:v>
                </c:pt>
                <c:pt idx="417">
                  <c:v>57</c:v>
                </c:pt>
                <c:pt idx="418">
                  <c:v>58</c:v>
                </c:pt>
                <c:pt idx="419">
                  <c:v>59</c:v>
                </c:pt>
                <c:pt idx="420">
                  <c:v>60</c:v>
                </c:pt>
                <c:pt idx="421">
                  <c:v>61</c:v>
                </c:pt>
                <c:pt idx="422">
                  <c:v>62</c:v>
                </c:pt>
                <c:pt idx="423">
                  <c:v>63</c:v>
                </c:pt>
                <c:pt idx="424">
                  <c:v>64</c:v>
                </c:pt>
                <c:pt idx="425">
                  <c:v>65</c:v>
                </c:pt>
                <c:pt idx="426">
                  <c:v>66</c:v>
                </c:pt>
                <c:pt idx="427">
                  <c:v>67</c:v>
                </c:pt>
                <c:pt idx="428">
                  <c:v>68</c:v>
                </c:pt>
                <c:pt idx="429">
                  <c:v>69</c:v>
                </c:pt>
                <c:pt idx="430">
                  <c:v>70</c:v>
                </c:pt>
                <c:pt idx="431">
                  <c:v>71</c:v>
                </c:pt>
                <c:pt idx="432">
                  <c:v>72</c:v>
                </c:pt>
                <c:pt idx="433">
                  <c:v>73</c:v>
                </c:pt>
                <c:pt idx="434">
                  <c:v>74</c:v>
                </c:pt>
                <c:pt idx="435">
                  <c:v>75</c:v>
                </c:pt>
                <c:pt idx="436">
                  <c:v>76</c:v>
                </c:pt>
                <c:pt idx="437">
                  <c:v>77</c:v>
                </c:pt>
                <c:pt idx="438">
                  <c:v>78</c:v>
                </c:pt>
                <c:pt idx="439">
                  <c:v>79</c:v>
                </c:pt>
                <c:pt idx="440">
                  <c:v>80</c:v>
                </c:pt>
                <c:pt idx="441">
                  <c:v>81</c:v>
                </c:pt>
                <c:pt idx="442">
                  <c:v>82</c:v>
                </c:pt>
                <c:pt idx="443">
                  <c:v>83</c:v>
                </c:pt>
                <c:pt idx="444">
                  <c:v>84</c:v>
                </c:pt>
                <c:pt idx="445">
                  <c:v>85</c:v>
                </c:pt>
                <c:pt idx="446">
                  <c:v>86</c:v>
                </c:pt>
                <c:pt idx="447">
                  <c:v>87</c:v>
                </c:pt>
                <c:pt idx="448">
                  <c:v>88</c:v>
                </c:pt>
                <c:pt idx="449">
                  <c:v>89</c:v>
                </c:pt>
                <c:pt idx="450">
                  <c:v>90</c:v>
                </c:pt>
                <c:pt idx="451">
                  <c:v>91</c:v>
                </c:pt>
                <c:pt idx="452">
                  <c:v>92</c:v>
                </c:pt>
                <c:pt idx="453">
                  <c:v>93</c:v>
                </c:pt>
                <c:pt idx="454">
                  <c:v>94</c:v>
                </c:pt>
                <c:pt idx="455">
                  <c:v>95</c:v>
                </c:pt>
                <c:pt idx="456">
                  <c:v>96</c:v>
                </c:pt>
                <c:pt idx="457">
                  <c:v>97</c:v>
                </c:pt>
                <c:pt idx="458">
                  <c:v>98</c:v>
                </c:pt>
                <c:pt idx="459">
                  <c:v>99</c:v>
                </c:pt>
                <c:pt idx="460">
                  <c:v>100</c:v>
                </c:pt>
                <c:pt idx="461">
                  <c:v>101</c:v>
                </c:pt>
                <c:pt idx="462">
                  <c:v>102</c:v>
                </c:pt>
                <c:pt idx="463">
                  <c:v>103</c:v>
                </c:pt>
                <c:pt idx="464">
                  <c:v>104</c:v>
                </c:pt>
                <c:pt idx="465">
                  <c:v>105</c:v>
                </c:pt>
                <c:pt idx="466">
                  <c:v>106</c:v>
                </c:pt>
                <c:pt idx="467">
                  <c:v>107</c:v>
                </c:pt>
                <c:pt idx="468">
                  <c:v>108</c:v>
                </c:pt>
                <c:pt idx="469">
                  <c:v>109</c:v>
                </c:pt>
                <c:pt idx="470">
                  <c:v>110</c:v>
                </c:pt>
                <c:pt idx="471">
                  <c:v>111</c:v>
                </c:pt>
                <c:pt idx="472">
                  <c:v>112</c:v>
                </c:pt>
                <c:pt idx="473">
                  <c:v>113</c:v>
                </c:pt>
                <c:pt idx="474">
                  <c:v>114</c:v>
                </c:pt>
                <c:pt idx="475">
                  <c:v>115</c:v>
                </c:pt>
                <c:pt idx="476">
                  <c:v>116</c:v>
                </c:pt>
                <c:pt idx="477">
                  <c:v>117</c:v>
                </c:pt>
                <c:pt idx="478">
                  <c:v>118</c:v>
                </c:pt>
                <c:pt idx="479">
                  <c:v>119</c:v>
                </c:pt>
                <c:pt idx="480">
                  <c:v>120</c:v>
                </c:pt>
                <c:pt idx="481">
                  <c:v>121</c:v>
                </c:pt>
                <c:pt idx="482">
                  <c:v>122</c:v>
                </c:pt>
                <c:pt idx="483">
                  <c:v>123</c:v>
                </c:pt>
                <c:pt idx="484">
                  <c:v>124</c:v>
                </c:pt>
                <c:pt idx="485">
                  <c:v>125</c:v>
                </c:pt>
                <c:pt idx="486">
                  <c:v>126</c:v>
                </c:pt>
                <c:pt idx="487">
                  <c:v>127</c:v>
                </c:pt>
                <c:pt idx="488">
                  <c:v>128</c:v>
                </c:pt>
                <c:pt idx="489">
                  <c:v>129</c:v>
                </c:pt>
                <c:pt idx="490">
                  <c:v>130</c:v>
                </c:pt>
                <c:pt idx="491">
                  <c:v>131</c:v>
                </c:pt>
                <c:pt idx="492">
                  <c:v>132</c:v>
                </c:pt>
                <c:pt idx="493">
                  <c:v>133</c:v>
                </c:pt>
                <c:pt idx="494">
                  <c:v>134</c:v>
                </c:pt>
                <c:pt idx="495">
                  <c:v>135</c:v>
                </c:pt>
                <c:pt idx="496">
                  <c:v>136</c:v>
                </c:pt>
                <c:pt idx="497">
                  <c:v>137</c:v>
                </c:pt>
                <c:pt idx="498">
                  <c:v>138</c:v>
                </c:pt>
                <c:pt idx="499">
                  <c:v>139</c:v>
                </c:pt>
                <c:pt idx="500">
                  <c:v>140</c:v>
                </c:pt>
                <c:pt idx="501">
                  <c:v>141</c:v>
                </c:pt>
                <c:pt idx="502">
                  <c:v>142</c:v>
                </c:pt>
                <c:pt idx="503">
                  <c:v>143</c:v>
                </c:pt>
                <c:pt idx="504">
                  <c:v>144</c:v>
                </c:pt>
                <c:pt idx="505">
                  <c:v>145</c:v>
                </c:pt>
                <c:pt idx="506">
                  <c:v>146</c:v>
                </c:pt>
                <c:pt idx="507">
                  <c:v>147</c:v>
                </c:pt>
                <c:pt idx="508">
                  <c:v>148</c:v>
                </c:pt>
                <c:pt idx="509">
                  <c:v>149</c:v>
                </c:pt>
                <c:pt idx="510">
                  <c:v>150</c:v>
                </c:pt>
                <c:pt idx="511">
                  <c:v>151</c:v>
                </c:pt>
                <c:pt idx="512">
                  <c:v>152</c:v>
                </c:pt>
                <c:pt idx="513">
                  <c:v>153</c:v>
                </c:pt>
                <c:pt idx="514">
                  <c:v>154</c:v>
                </c:pt>
                <c:pt idx="515">
                  <c:v>155</c:v>
                </c:pt>
                <c:pt idx="516">
                  <c:v>156</c:v>
                </c:pt>
                <c:pt idx="517">
                  <c:v>157</c:v>
                </c:pt>
                <c:pt idx="518">
                  <c:v>158</c:v>
                </c:pt>
                <c:pt idx="519">
                  <c:v>159</c:v>
                </c:pt>
                <c:pt idx="520">
                  <c:v>160</c:v>
                </c:pt>
                <c:pt idx="521">
                  <c:v>161</c:v>
                </c:pt>
                <c:pt idx="522">
                  <c:v>162</c:v>
                </c:pt>
                <c:pt idx="523">
                  <c:v>163</c:v>
                </c:pt>
                <c:pt idx="524">
                  <c:v>164</c:v>
                </c:pt>
                <c:pt idx="525">
                  <c:v>165</c:v>
                </c:pt>
                <c:pt idx="526">
                  <c:v>166</c:v>
                </c:pt>
                <c:pt idx="527">
                  <c:v>167</c:v>
                </c:pt>
                <c:pt idx="528">
                  <c:v>168</c:v>
                </c:pt>
                <c:pt idx="529">
                  <c:v>169</c:v>
                </c:pt>
                <c:pt idx="530">
                  <c:v>170</c:v>
                </c:pt>
                <c:pt idx="531">
                  <c:v>171</c:v>
                </c:pt>
                <c:pt idx="532">
                  <c:v>172</c:v>
                </c:pt>
                <c:pt idx="533">
                  <c:v>173</c:v>
                </c:pt>
                <c:pt idx="534">
                  <c:v>174</c:v>
                </c:pt>
                <c:pt idx="535">
                  <c:v>175</c:v>
                </c:pt>
                <c:pt idx="536">
                  <c:v>176</c:v>
                </c:pt>
                <c:pt idx="537">
                  <c:v>177</c:v>
                </c:pt>
                <c:pt idx="538">
                  <c:v>178</c:v>
                </c:pt>
                <c:pt idx="539">
                  <c:v>179</c:v>
                </c:pt>
                <c:pt idx="540">
                  <c:v>180</c:v>
                </c:pt>
                <c:pt idx="541">
                  <c:v>181</c:v>
                </c:pt>
                <c:pt idx="542">
                  <c:v>182</c:v>
                </c:pt>
                <c:pt idx="543">
                  <c:v>183</c:v>
                </c:pt>
                <c:pt idx="544">
                  <c:v>184</c:v>
                </c:pt>
                <c:pt idx="545">
                  <c:v>185</c:v>
                </c:pt>
                <c:pt idx="546">
                  <c:v>186</c:v>
                </c:pt>
                <c:pt idx="547">
                  <c:v>187</c:v>
                </c:pt>
                <c:pt idx="548">
                  <c:v>188</c:v>
                </c:pt>
                <c:pt idx="549">
                  <c:v>189</c:v>
                </c:pt>
                <c:pt idx="550">
                  <c:v>190</c:v>
                </c:pt>
                <c:pt idx="551">
                  <c:v>191</c:v>
                </c:pt>
                <c:pt idx="552">
                  <c:v>192</c:v>
                </c:pt>
                <c:pt idx="553">
                  <c:v>193</c:v>
                </c:pt>
                <c:pt idx="554">
                  <c:v>194</c:v>
                </c:pt>
                <c:pt idx="555">
                  <c:v>195</c:v>
                </c:pt>
                <c:pt idx="556">
                  <c:v>196</c:v>
                </c:pt>
                <c:pt idx="557">
                  <c:v>197</c:v>
                </c:pt>
                <c:pt idx="558">
                  <c:v>198</c:v>
                </c:pt>
                <c:pt idx="559">
                  <c:v>199</c:v>
                </c:pt>
                <c:pt idx="560">
                  <c:v>200</c:v>
                </c:pt>
                <c:pt idx="561">
                  <c:v>201</c:v>
                </c:pt>
                <c:pt idx="562">
                  <c:v>202</c:v>
                </c:pt>
                <c:pt idx="563">
                  <c:v>203</c:v>
                </c:pt>
                <c:pt idx="564">
                  <c:v>204</c:v>
                </c:pt>
                <c:pt idx="565">
                  <c:v>205</c:v>
                </c:pt>
                <c:pt idx="566">
                  <c:v>206</c:v>
                </c:pt>
                <c:pt idx="567">
                  <c:v>207</c:v>
                </c:pt>
                <c:pt idx="568">
                  <c:v>208</c:v>
                </c:pt>
                <c:pt idx="569">
                  <c:v>209</c:v>
                </c:pt>
                <c:pt idx="570">
                  <c:v>210</c:v>
                </c:pt>
                <c:pt idx="571">
                  <c:v>211</c:v>
                </c:pt>
                <c:pt idx="572">
                  <c:v>212</c:v>
                </c:pt>
                <c:pt idx="573">
                  <c:v>213</c:v>
                </c:pt>
                <c:pt idx="574">
                  <c:v>214</c:v>
                </c:pt>
                <c:pt idx="575">
                  <c:v>215</c:v>
                </c:pt>
                <c:pt idx="576">
                  <c:v>216</c:v>
                </c:pt>
                <c:pt idx="577">
                  <c:v>217</c:v>
                </c:pt>
                <c:pt idx="578">
                  <c:v>218</c:v>
                </c:pt>
                <c:pt idx="579">
                  <c:v>219</c:v>
                </c:pt>
                <c:pt idx="580">
                  <c:v>220</c:v>
                </c:pt>
                <c:pt idx="581">
                  <c:v>221</c:v>
                </c:pt>
                <c:pt idx="582">
                  <c:v>222</c:v>
                </c:pt>
                <c:pt idx="583">
                  <c:v>223</c:v>
                </c:pt>
                <c:pt idx="584">
                  <c:v>224</c:v>
                </c:pt>
                <c:pt idx="585">
                  <c:v>225</c:v>
                </c:pt>
                <c:pt idx="586">
                  <c:v>226</c:v>
                </c:pt>
                <c:pt idx="587">
                  <c:v>227</c:v>
                </c:pt>
                <c:pt idx="588">
                  <c:v>228</c:v>
                </c:pt>
                <c:pt idx="589">
                  <c:v>229</c:v>
                </c:pt>
                <c:pt idx="590">
                  <c:v>230</c:v>
                </c:pt>
                <c:pt idx="591">
                  <c:v>231</c:v>
                </c:pt>
                <c:pt idx="592">
                  <c:v>232</c:v>
                </c:pt>
                <c:pt idx="593">
                  <c:v>233</c:v>
                </c:pt>
                <c:pt idx="594">
                  <c:v>234</c:v>
                </c:pt>
                <c:pt idx="595">
                  <c:v>235</c:v>
                </c:pt>
                <c:pt idx="596">
                  <c:v>236</c:v>
                </c:pt>
                <c:pt idx="597">
                  <c:v>237</c:v>
                </c:pt>
                <c:pt idx="598">
                  <c:v>238</c:v>
                </c:pt>
                <c:pt idx="599">
                  <c:v>239</c:v>
                </c:pt>
                <c:pt idx="600">
                  <c:v>240</c:v>
                </c:pt>
                <c:pt idx="601">
                  <c:v>241</c:v>
                </c:pt>
                <c:pt idx="602">
                  <c:v>242</c:v>
                </c:pt>
                <c:pt idx="603">
                  <c:v>243</c:v>
                </c:pt>
                <c:pt idx="604">
                  <c:v>244</c:v>
                </c:pt>
                <c:pt idx="605">
                  <c:v>245</c:v>
                </c:pt>
                <c:pt idx="606">
                  <c:v>246</c:v>
                </c:pt>
                <c:pt idx="607">
                  <c:v>247</c:v>
                </c:pt>
                <c:pt idx="608">
                  <c:v>248</c:v>
                </c:pt>
                <c:pt idx="609">
                  <c:v>249</c:v>
                </c:pt>
                <c:pt idx="610">
                  <c:v>250</c:v>
                </c:pt>
                <c:pt idx="611">
                  <c:v>251</c:v>
                </c:pt>
                <c:pt idx="612">
                  <c:v>252</c:v>
                </c:pt>
                <c:pt idx="613">
                  <c:v>253</c:v>
                </c:pt>
                <c:pt idx="614">
                  <c:v>254</c:v>
                </c:pt>
                <c:pt idx="615">
                  <c:v>255</c:v>
                </c:pt>
                <c:pt idx="616">
                  <c:v>256</c:v>
                </c:pt>
                <c:pt idx="617">
                  <c:v>257</c:v>
                </c:pt>
                <c:pt idx="618">
                  <c:v>258</c:v>
                </c:pt>
                <c:pt idx="619">
                  <c:v>259</c:v>
                </c:pt>
                <c:pt idx="620">
                  <c:v>260</c:v>
                </c:pt>
                <c:pt idx="621">
                  <c:v>261</c:v>
                </c:pt>
                <c:pt idx="622">
                  <c:v>262</c:v>
                </c:pt>
                <c:pt idx="623">
                  <c:v>263</c:v>
                </c:pt>
                <c:pt idx="624">
                  <c:v>264</c:v>
                </c:pt>
                <c:pt idx="625">
                  <c:v>265</c:v>
                </c:pt>
                <c:pt idx="626">
                  <c:v>266</c:v>
                </c:pt>
                <c:pt idx="627">
                  <c:v>267</c:v>
                </c:pt>
                <c:pt idx="628">
                  <c:v>268</c:v>
                </c:pt>
                <c:pt idx="629">
                  <c:v>269</c:v>
                </c:pt>
                <c:pt idx="630">
                  <c:v>270</c:v>
                </c:pt>
                <c:pt idx="631">
                  <c:v>271</c:v>
                </c:pt>
                <c:pt idx="632">
                  <c:v>272</c:v>
                </c:pt>
                <c:pt idx="633">
                  <c:v>273</c:v>
                </c:pt>
                <c:pt idx="634">
                  <c:v>274</c:v>
                </c:pt>
                <c:pt idx="635">
                  <c:v>275</c:v>
                </c:pt>
                <c:pt idx="636">
                  <c:v>276</c:v>
                </c:pt>
                <c:pt idx="637">
                  <c:v>277</c:v>
                </c:pt>
                <c:pt idx="638">
                  <c:v>278</c:v>
                </c:pt>
                <c:pt idx="639">
                  <c:v>279</c:v>
                </c:pt>
                <c:pt idx="640">
                  <c:v>280</c:v>
                </c:pt>
                <c:pt idx="641">
                  <c:v>281</c:v>
                </c:pt>
                <c:pt idx="642">
                  <c:v>282</c:v>
                </c:pt>
                <c:pt idx="643">
                  <c:v>283</c:v>
                </c:pt>
                <c:pt idx="644">
                  <c:v>284</c:v>
                </c:pt>
                <c:pt idx="645">
                  <c:v>285</c:v>
                </c:pt>
                <c:pt idx="646">
                  <c:v>286</c:v>
                </c:pt>
                <c:pt idx="647">
                  <c:v>287</c:v>
                </c:pt>
                <c:pt idx="648">
                  <c:v>288</c:v>
                </c:pt>
                <c:pt idx="649">
                  <c:v>289</c:v>
                </c:pt>
                <c:pt idx="650">
                  <c:v>290</c:v>
                </c:pt>
                <c:pt idx="651">
                  <c:v>291</c:v>
                </c:pt>
                <c:pt idx="652">
                  <c:v>292</c:v>
                </c:pt>
                <c:pt idx="653">
                  <c:v>293</c:v>
                </c:pt>
                <c:pt idx="654">
                  <c:v>294</c:v>
                </c:pt>
                <c:pt idx="655">
                  <c:v>295</c:v>
                </c:pt>
                <c:pt idx="656">
                  <c:v>296</c:v>
                </c:pt>
                <c:pt idx="657">
                  <c:v>297</c:v>
                </c:pt>
                <c:pt idx="658">
                  <c:v>298</c:v>
                </c:pt>
                <c:pt idx="659">
                  <c:v>299</c:v>
                </c:pt>
                <c:pt idx="660">
                  <c:v>300</c:v>
                </c:pt>
                <c:pt idx="661">
                  <c:v>301</c:v>
                </c:pt>
                <c:pt idx="662">
                  <c:v>302</c:v>
                </c:pt>
                <c:pt idx="663">
                  <c:v>303</c:v>
                </c:pt>
                <c:pt idx="664">
                  <c:v>304</c:v>
                </c:pt>
                <c:pt idx="665">
                  <c:v>305</c:v>
                </c:pt>
                <c:pt idx="666">
                  <c:v>306</c:v>
                </c:pt>
                <c:pt idx="667">
                  <c:v>307</c:v>
                </c:pt>
                <c:pt idx="668">
                  <c:v>308</c:v>
                </c:pt>
                <c:pt idx="669">
                  <c:v>309</c:v>
                </c:pt>
                <c:pt idx="670">
                  <c:v>310</c:v>
                </c:pt>
                <c:pt idx="671">
                  <c:v>311</c:v>
                </c:pt>
                <c:pt idx="672">
                  <c:v>312</c:v>
                </c:pt>
                <c:pt idx="673">
                  <c:v>313</c:v>
                </c:pt>
                <c:pt idx="674">
                  <c:v>314</c:v>
                </c:pt>
                <c:pt idx="675">
                  <c:v>315</c:v>
                </c:pt>
                <c:pt idx="676">
                  <c:v>316</c:v>
                </c:pt>
                <c:pt idx="677">
                  <c:v>317</c:v>
                </c:pt>
                <c:pt idx="678">
                  <c:v>318</c:v>
                </c:pt>
                <c:pt idx="679">
                  <c:v>319</c:v>
                </c:pt>
                <c:pt idx="680">
                  <c:v>320</c:v>
                </c:pt>
                <c:pt idx="681">
                  <c:v>321</c:v>
                </c:pt>
                <c:pt idx="682">
                  <c:v>322</c:v>
                </c:pt>
                <c:pt idx="683">
                  <c:v>323</c:v>
                </c:pt>
                <c:pt idx="684">
                  <c:v>324</c:v>
                </c:pt>
                <c:pt idx="685">
                  <c:v>325</c:v>
                </c:pt>
                <c:pt idx="686">
                  <c:v>326</c:v>
                </c:pt>
                <c:pt idx="687">
                  <c:v>327</c:v>
                </c:pt>
                <c:pt idx="688">
                  <c:v>328</c:v>
                </c:pt>
                <c:pt idx="689">
                  <c:v>329</c:v>
                </c:pt>
                <c:pt idx="690">
                  <c:v>330</c:v>
                </c:pt>
                <c:pt idx="691">
                  <c:v>331</c:v>
                </c:pt>
                <c:pt idx="692">
                  <c:v>332</c:v>
                </c:pt>
                <c:pt idx="693">
                  <c:v>333</c:v>
                </c:pt>
                <c:pt idx="694">
                  <c:v>334</c:v>
                </c:pt>
                <c:pt idx="695">
                  <c:v>335</c:v>
                </c:pt>
                <c:pt idx="696">
                  <c:v>336</c:v>
                </c:pt>
                <c:pt idx="697">
                  <c:v>337</c:v>
                </c:pt>
                <c:pt idx="698">
                  <c:v>338</c:v>
                </c:pt>
                <c:pt idx="699">
                  <c:v>339</c:v>
                </c:pt>
                <c:pt idx="700">
                  <c:v>340</c:v>
                </c:pt>
                <c:pt idx="701">
                  <c:v>341</c:v>
                </c:pt>
                <c:pt idx="702">
                  <c:v>342</c:v>
                </c:pt>
                <c:pt idx="703">
                  <c:v>343</c:v>
                </c:pt>
                <c:pt idx="704">
                  <c:v>344</c:v>
                </c:pt>
                <c:pt idx="705">
                  <c:v>345</c:v>
                </c:pt>
                <c:pt idx="706">
                  <c:v>346</c:v>
                </c:pt>
                <c:pt idx="707">
                  <c:v>347</c:v>
                </c:pt>
                <c:pt idx="708">
                  <c:v>348</c:v>
                </c:pt>
                <c:pt idx="709">
                  <c:v>349</c:v>
                </c:pt>
                <c:pt idx="710">
                  <c:v>350</c:v>
                </c:pt>
                <c:pt idx="711">
                  <c:v>351</c:v>
                </c:pt>
                <c:pt idx="712">
                  <c:v>352</c:v>
                </c:pt>
                <c:pt idx="713">
                  <c:v>353</c:v>
                </c:pt>
                <c:pt idx="714">
                  <c:v>354</c:v>
                </c:pt>
                <c:pt idx="715">
                  <c:v>355</c:v>
                </c:pt>
                <c:pt idx="716">
                  <c:v>356</c:v>
                </c:pt>
                <c:pt idx="717">
                  <c:v>357</c:v>
                </c:pt>
                <c:pt idx="718">
                  <c:v>358</c:v>
                </c:pt>
                <c:pt idx="719">
                  <c:v>359</c:v>
                </c:pt>
              </c:numCache>
            </c:numRef>
          </c:xVal>
          <c:yVal>
            <c:numRef>
              <c:f>Data!$J$3:$J$722</c:f>
              <c:numCache>
                <c:formatCode>0.00</c:formatCode>
                <c:ptCount val="720"/>
              </c:numCache>
            </c:numRef>
          </c:yVal>
          <c:smooth val="1"/>
        </c:ser>
        <c:ser>
          <c:idx val="1"/>
          <c:order val="1"/>
          <c:tx>
            <c:strRef>
              <c:f>Data!$I$2</c:f>
              <c:strCache>
                <c:ptCount val="1"/>
                <c:pt idx="0">
                  <c:v>Scarico</c:v>
                </c:pt>
              </c:strCache>
            </c:strRef>
          </c:tx>
          <c:marker>
            <c:symbol val="none"/>
          </c:marker>
          <c:xVal>
            <c:numRef>
              <c:f>Data!$H$3:$H$722</c:f>
              <c:numCache>
                <c:formatCode>General</c:formatCode>
                <c:ptCount val="720"/>
                <c:pt idx="0">
                  <c:v>-360</c:v>
                </c:pt>
                <c:pt idx="1">
                  <c:v>-359</c:v>
                </c:pt>
                <c:pt idx="2">
                  <c:v>-358</c:v>
                </c:pt>
                <c:pt idx="3">
                  <c:v>-357</c:v>
                </c:pt>
                <c:pt idx="4">
                  <c:v>-356</c:v>
                </c:pt>
                <c:pt idx="5">
                  <c:v>-355</c:v>
                </c:pt>
                <c:pt idx="6">
                  <c:v>-354</c:v>
                </c:pt>
                <c:pt idx="7">
                  <c:v>-353</c:v>
                </c:pt>
                <c:pt idx="8">
                  <c:v>-352</c:v>
                </c:pt>
                <c:pt idx="9">
                  <c:v>-351</c:v>
                </c:pt>
                <c:pt idx="10">
                  <c:v>-350</c:v>
                </c:pt>
                <c:pt idx="11">
                  <c:v>-349</c:v>
                </c:pt>
                <c:pt idx="12">
                  <c:v>-348</c:v>
                </c:pt>
                <c:pt idx="13">
                  <c:v>-347</c:v>
                </c:pt>
                <c:pt idx="14">
                  <c:v>-346</c:v>
                </c:pt>
                <c:pt idx="15">
                  <c:v>-345</c:v>
                </c:pt>
                <c:pt idx="16">
                  <c:v>-344</c:v>
                </c:pt>
                <c:pt idx="17">
                  <c:v>-343</c:v>
                </c:pt>
                <c:pt idx="18">
                  <c:v>-342</c:v>
                </c:pt>
                <c:pt idx="19">
                  <c:v>-341</c:v>
                </c:pt>
                <c:pt idx="20">
                  <c:v>-340</c:v>
                </c:pt>
                <c:pt idx="21">
                  <c:v>-339</c:v>
                </c:pt>
                <c:pt idx="22">
                  <c:v>-338</c:v>
                </c:pt>
                <c:pt idx="23">
                  <c:v>-337</c:v>
                </c:pt>
                <c:pt idx="24">
                  <c:v>-336</c:v>
                </c:pt>
                <c:pt idx="25">
                  <c:v>-335</c:v>
                </c:pt>
                <c:pt idx="26">
                  <c:v>-334</c:v>
                </c:pt>
                <c:pt idx="27">
                  <c:v>-333</c:v>
                </c:pt>
                <c:pt idx="28">
                  <c:v>-332</c:v>
                </c:pt>
                <c:pt idx="29">
                  <c:v>-331</c:v>
                </c:pt>
                <c:pt idx="30">
                  <c:v>-330</c:v>
                </c:pt>
                <c:pt idx="31">
                  <c:v>-329</c:v>
                </c:pt>
                <c:pt idx="32">
                  <c:v>-328</c:v>
                </c:pt>
                <c:pt idx="33">
                  <c:v>-327</c:v>
                </c:pt>
                <c:pt idx="34">
                  <c:v>-326</c:v>
                </c:pt>
                <c:pt idx="35">
                  <c:v>-325</c:v>
                </c:pt>
                <c:pt idx="36">
                  <c:v>-324</c:v>
                </c:pt>
                <c:pt idx="37">
                  <c:v>-323</c:v>
                </c:pt>
                <c:pt idx="38">
                  <c:v>-322</c:v>
                </c:pt>
                <c:pt idx="39">
                  <c:v>-321</c:v>
                </c:pt>
                <c:pt idx="40">
                  <c:v>-320</c:v>
                </c:pt>
                <c:pt idx="41">
                  <c:v>-319</c:v>
                </c:pt>
                <c:pt idx="42">
                  <c:v>-318</c:v>
                </c:pt>
                <c:pt idx="43">
                  <c:v>-317</c:v>
                </c:pt>
                <c:pt idx="44">
                  <c:v>-316</c:v>
                </c:pt>
                <c:pt idx="45">
                  <c:v>-315</c:v>
                </c:pt>
                <c:pt idx="46">
                  <c:v>-314</c:v>
                </c:pt>
                <c:pt idx="47">
                  <c:v>-313</c:v>
                </c:pt>
                <c:pt idx="48">
                  <c:v>-312</c:v>
                </c:pt>
                <c:pt idx="49">
                  <c:v>-311</c:v>
                </c:pt>
                <c:pt idx="50">
                  <c:v>-310</c:v>
                </c:pt>
                <c:pt idx="51">
                  <c:v>-309</c:v>
                </c:pt>
                <c:pt idx="52">
                  <c:v>-308</c:v>
                </c:pt>
                <c:pt idx="53">
                  <c:v>-307</c:v>
                </c:pt>
                <c:pt idx="54">
                  <c:v>-306</c:v>
                </c:pt>
                <c:pt idx="55">
                  <c:v>-305</c:v>
                </c:pt>
                <c:pt idx="56">
                  <c:v>-304</c:v>
                </c:pt>
                <c:pt idx="57">
                  <c:v>-303</c:v>
                </c:pt>
                <c:pt idx="58">
                  <c:v>-302</c:v>
                </c:pt>
                <c:pt idx="59">
                  <c:v>-301</c:v>
                </c:pt>
                <c:pt idx="60">
                  <c:v>-300</c:v>
                </c:pt>
                <c:pt idx="61">
                  <c:v>-299</c:v>
                </c:pt>
                <c:pt idx="62">
                  <c:v>-298</c:v>
                </c:pt>
                <c:pt idx="63">
                  <c:v>-297</c:v>
                </c:pt>
                <c:pt idx="64">
                  <c:v>-296</c:v>
                </c:pt>
                <c:pt idx="65">
                  <c:v>-295</c:v>
                </c:pt>
                <c:pt idx="66">
                  <c:v>-294</c:v>
                </c:pt>
                <c:pt idx="67">
                  <c:v>-293</c:v>
                </c:pt>
                <c:pt idx="68">
                  <c:v>-292</c:v>
                </c:pt>
                <c:pt idx="69">
                  <c:v>-291</c:v>
                </c:pt>
                <c:pt idx="70">
                  <c:v>-290</c:v>
                </c:pt>
                <c:pt idx="71">
                  <c:v>-289</c:v>
                </c:pt>
                <c:pt idx="72">
                  <c:v>-288</c:v>
                </c:pt>
                <c:pt idx="73">
                  <c:v>-287</c:v>
                </c:pt>
                <c:pt idx="74">
                  <c:v>-286</c:v>
                </c:pt>
                <c:pt idx="75">
                  <c:v>-285</c:v>
                </c:pt>
                <c:pt idx="76">
                  <c:v>-284</c:v>
                </c:pt>
                <c:pt idx="77">
                  <c:v>-283</c:v>
                </c:pt>
                <c:pt idx="78">
                  <c:v>-282</c:v>
                </c:pt>
                <c:pt idx="79">
                  <c:v>-281</c:v>
                </c:pt>
                <c:pt idx="80">
                  <c:v>-280</c:v>
                </c:pt>
                <c:pt idx="81">
                  <c:v>-279</c:v>
                </c:pt>
                <c:pt idx="82">
                  <c:v>-278</c:v>
                </c:pt>
                <c:pt idx="83">
                  <c:v>-277</c:v>
                </c:pt>
                <c:pt idx="84">
                  <c:v>-276</c:v>
                </c:pt>
                <c:pt idx="85">
                  <c:v>-275</c:v>
                </c:pt>
                <c:pt idx="86">
                  <c:v>-274</c:v>
                </c:pt>
                <c:pt idx="87">
                  <c:v>-273</c:v>
                </c:pt>
                <c:pt idx="88">
                  <c:v>-272</c:v>
                </c:pt>
                <c:pt idx="89">
                  <c:v>-271</c:v>
                </c:pt>
                <c:pt idx="90">
                  <c:v>-270</c:v>
                </c:pt>
                <c:pt idx="91">
                  <c:v>-269</c:v>
                </c:pt>
                <c:pt idx="92">
                  <c:v>-268</c:v>
                </c:pt>
                <c:pt idx="93">
                  <c:v>-267</c:v>
                </c:pt>
                <c:pt idx="94">
                  <c:v>-266</c:v>
                </c:pt>
                <c:pt idx="95">
                  <c:v>-265</c:v>
                </c:pt>
                <c:pt idx="96">
                  <c:v>-264</c:v>
                </c:pt>
                <c:pt idx="97">
                  <c:v>-263</c:v>
                </c:pt>
                <c:pt idx="98">
                  <c:v>-262</c:v>
                </c:pt>
                <c:pt idx="99">
                  <c:v>-261</c:v>
                </c:pt>
                <c:pt idx="100">
                  <c:v>-260</c:v>
                </c:pt>
                <c:pt idx="101">
                  <c:v>-259</c:v>
                </c:pt>
                <c:pt idx="102">
                  <c:v>-258</c:v>
                </c:pt>
                <c:pt idx="103">
                  <c:v>-257</c:v>
                </c:pt>
                <c:pt idx="104">
                  <c:v>-256</c:v>
                </c:pt>
                <c:pt idx="105">
                  <c:v>-255</c:v>
                </c:pt>
                <c:pt idx="106">
                  <c:v>-254</c:v>
                </c:pt>
                <c:pt idx="107">
                  <c:v>-253</c:v>
                </c:pt>
                <c:pt idx="108">
                  <c:v>-252</c:v>
                </c:pt>
                <c:pt idx="109">
                  <c:v>-251</c:v>
                </c:pt>
                <c:pt idx="110">
                  <c:v>-250</c:v>
                </c:pt>
                <c:pt idx="111">
                  <c:v>-249</c:v>
                </c:pt>
                <c:pt idx="112">
                  <c:v>-248</c:v>
                </c:pt>
                <c:pt idx="113">
                  <c:v>-247</c:v>
                </c:pt>
                <c:pt idx="114">
                  <c:v>-246</c:v>
                </c:pt>
                <c:pt idx="115">
                  <c:v>-245</c:v>
                </c:pt>
                <c:pt idx="116">
                  <c:v>-244</c:v>
                </c:pt>
                <c:pt idx="117">
                  <c:v>-243</c:v>
                </c:pt>
                <c:pt idx="118">
                  <c:v>-242</c:v>
                </c:pt>
                <c:pt idx="119">
                  <c:v>-241</c:v>
                </c:pt>
                <c:pt idx="120">
                  <c:v>-240</c:v>
                </c:pt>
                <c:pt idx="121">
                  <c:v>-239</c:v>
                </c:pt>
                <c:pt idx="122">
                  <c:v>-238</c:v>
                </c:pt>
                <c:pt idx="123">
                  <c:v>-237</c:v>
                </c:pt>
                <c:pt idx="124">
                  <c:v>-236</c:v>
                </c:pt>
                <c:pt idx="125">
                  <c:v>-235</c:v>
                </c:pt>
                <c:pt idx="126">
                  <c:v>-234</c:v>
                </c:pt>
                <c:pt idx="127">
                  <c:v>-233</c:v>
                </c:pt>
                <c:pt idx="128">
                  <c:v>-232</c:v>
                </c:pt>
                <c:pt idx="129">
                  <c:v>-231</c:v>
                </c:pt>
                <c:pt idx="130">
                  <c:v>-230</c:v>
                </c:pt>
                <c:pt idx="131">
                  <c:v>-229</c:v>
                </c:pt>
                <c:pt idx="132">
                  <c:v>-228</c:v>
                </c:pt>
                <c:pt idx="133">
                  <c:v>-227</c:v>
                </c:pt>
                <c:pt idx="134">
                  <c:v>-226</c:v>
                </c:pt>
                <c:pt idx="135">
                  <c:v>-225</c:v>
                </c:pt>
                <c:pt idx="136">
                  <c:v>-224</c:v>
                </c:pt>
                <c:pt idx="137">
                  <c:v>-223</c:v>
                </c:pt>
                <c:pt idx="138">
                  <c:v>-222</c:v>
                </c:pt>
                <c:pt idx="139">
                  <c:v>-221</c:v>
                </c:pt>
                <c:pt idx="140">
                  <c:v>-220</c:v>
                </c:pt>
                <c:pt idx="141">
                  <c:v>-219</c:v>
                </c:pt>
                <c:pt idx="142">
                  <c:v>-218</c:v>
                </c:pt>
                <c:pt idx="143">
                  <c:v>-217</c:v>
                </c:pt>
                <c:pt idx="144">
                  <c:v>-216</c:v>
                </c:pt>
                <c:pt idx="145">
                  <c:v>-215</c:v>
                </c:pt>
                <c:pt idx="146">
                  <c:v>-214</c:v>
                </c:pt>
                <c:pt idx="147">
                  <c:v>-213</c:v>
                </c:pt>
                <c:pt idx="148">
                  <c:v>-212</c:v>
                </c:pt>
                <c:pt idx="149">
                  <c:v>-211</c:v>
                </c:pt>
                <c:pt idx="150">
                  <c:v>-210</c:v>
                </c:pt>
                <c:pt idx="151">
                  <c:v>-209</c:v>
                </c:pt>
                <c:pt idx="152">
                  <c:v>-208</c:v>
                </c:pt>
                <c:pt idx="153">
                  <c:v>-207</c:v>
                </c:pt>
                <c:pt idx="154">
                  <c:v>-206</c:v>
                </c:pt>
                <c:pt idx="155">
                  <c:v>-205</c:v>
                </c:pt>
                <c:pt idx="156">
                  <c:v>-204</c:v>
                </c:pt>
                <c:pt idx="157">
                  <c:v>-203</c:v>
                </c:pt>
                <c:pt idx="158">
                  <c:v>-202</c:v>
                </c:pt>
                <c:pt idx="159">
                  <c:v>-201</c:v>
                </c:pt>
                <c:pt idx="160">
                  <c:v>-200</c:v>
                </c:pt>
                <c:pt idx="161">
                  <c:v>-199</c:v>
                </c:pt>
                <c:pt idx="162">
                  <c:v>-198</c:v>
                </c:pt>
                <c:pt idx="163">
                  <c:v>-197</c:v>
                </c:pt>
                <c:pt idx="164">
                  <c:v>-196</c:v>
                </c:pt>
                <c:pt idx="165">
                  <c:v>-195</c:v>
                </c:pt>
                <c:pt idx="166">
                  <c:v>-194</c:v>
                </c:pt>
                <c:pt idx="167">
                  <c:v>-193</c:v>
                </c:pt>
                <c:pt idx="168">
                  <c:v>-192</c:v>
                </c:pt>
                <c:pt idx="169">
                  <c:v>-191</c:v>
                </c:pt>
                <c:pt idx="170">
                  <c:v>-190</c:v>
                </c:pt>
                <c:pt idx="171">
                  <c:v>-189</c:v>
                </c:pt>
                <c:pt idx="172">
                  <c:v>-188</c:v>
                </c:pt>
                <c:pt idx="173">
                  <c:v>-187</c:v>
                </c:pt>
                <c:pt idx="174">
                  <c:v>-186</c:v>
                </c:pt>
                <c:pt idx="175">
                  <c:v>-185</c:v>
                </c:pt>
                <c:pt idx="176">
                  <c:v>-184</c:v>
                </c:pt>
                <c:pt idx="177">
                  <c:v>-183</c:v>
                </c:pt>
                <c:pt idx="178">
                  <c:v>-182</c:v>
                </c:pt>
                <c:pt idx="179">
                  <c:v>-181</c:v>
                </c:pt>
                <c:pt idx="180">
                  <c:v>-180</c:v>
                </c:pt>
                <c:pt idx="181">
                  <c:v>-179</c:v>
                </c:pt>
                <c:pt idx="182">
                  <c:v>-178</c:v>
                </c:pt>
                <c:pt idx="183">
                  <c:v>-177</c:v>
                </c:pt>
                <c:pt idx="184">
                  <c:v>-176</c:v>
                </c:pt>
                <c:pt idx="185">
                  <c:v>-175</c:v>
                </c:pt>
                <c:pt idx="186">
                  <c:v>-174</c:v>
                </c:pt>
                <c:pt idx="187">
                  <c:v>-173</c:v>
                </c:pt>
                <c:pt idx="188">
                  <c:v>-172</c:v>
                </c:pt>
                <c:pt idx="189">
                  <c:v>-171</c:v>
                </c:pt>
                <c:pt idx="190">
                  <c:v>-170</c:v>
                </c:pt>
                <c:pt idx="191">
                  <c:v>-169</c:v>
                </c:pt>
                <c:pt idx="192">
                  <c:v>-168</c:v>
                </c:pt>
                <c:pt idx="193">
                  <c:v>-167</c:v>
                </c:pt>
                <c:pt idx="194">
                  <c:v>-166</c:v>
                </c:pt>
                <c:pt idx="195">
                  <c:v>-165</c:v>
                </c:pt>
                <c:pt idx="196">
                  <c:v>-164</c:v>
                </c:pt>
                <c:pt idx="197">
                  <c:v>-163</c:v>
                </c:pt>
                <c:pt idx="198">
                  <c:v>-162</c:v>
                </c:pt>
                <c:pt idx="199">
                  <c:v>-161</c:v>
                </c:pt>
                <c:pt idx="200">
                  <c:v>-160</c:v>
                </c:pt>
                <c:pt idx="201">
                  <c:v>-159</c:v>
                </c:pt>
                <c:pt idx="202">
                  <c:v>-158</c:v>
                </c:pt>
                <c:pt idx="203">
                  <c:v>-157</c:v>
                </c:pt>
                <c:pt idx="204">
                  <c:v>-156</c:v>
                </c:pt>
                <c:pt idx="205">
                  <c:v>-155</c:v>
                </c:pt>
                <c:pt idx="206">
                  <c:v>-154</c:v>
                </c:pt>
                <c:pt idx="207">
                  <c:v>-153</c:v>
                </c:pt>
                <c:pt idx="208">
                  <c:v>-152</c:v>
                </c:pt>
                <c:pt idx="209">
                  <c:v>-151</c:v>
                </c:pt>
                <c:pt idx="210">
                  <c:v>-150</c:v>
                </c:pt>
                <c:pt idx="211">
                  <c:v>-149</c:v>
                </c:pt>
                <c:pt idx="212">
                  <c:v>-148</c:v>
                </c:pt>
                <c:pt idx="213">
                  <c:v>-147</c:v>
                </c:pt>
                <c:pt idx="214">
                  <c:v>-146</c:v>
                </c:pt>
                <c:pt idx="215">
                  <c:v>-145</c:v>
                </c:pt>
                <c:pt idx="216">
                  <c:v>-144</c:v>
                </c:pt>
                <c:pt idx="217">
                  <c:v>-143</c:v>
                </c:pt>
                <c:pt idx="218">
                  <c:v>-142</c:v>
                </c:pt>
                <c:pt idx="219">
                  <c:v>-141</c:v>
                </c:pt>
                <c:pt idx="220">
                  <c:v>-140</c:v>
                </c:pt>
                <c:pt idx="221">
                  <c:v>-139</c:v>
                </c:pt>
                <c:pt idx="222">
                  <c:v>-138</c:v>
                </c:pt>
                <c:pt idx="223">
                  <c:v>-137</c:v>
                </c:pt>
                <c:pt idx="224">
                  <c:v>-136</c:v>
                </c:pt>
                <c:pt idx="225">
                  <c:v>-135</c:v>
                </c:pt>
                <c:pt idx="226">
                  <c:v>-134</c:v>
                </c:pt>
                <c:pt idx="227">
                  <c:v>-133</c:v>
                </c:pt>
                <c:pt idx="228">
                  <c:v>-132</c:v>
                </c:pt>
                <c:pt idx="229">
                  <c:v>-131</c:v>
                </c:pt>
                <c:pt idx="230">
                  <c:v>-130</c:v>
                </c:pt>
                <c:pt idx="231">
                  <c:v>-129</c:v>
                </c:pt>
                <c:pt idx="232">
                  <c:v>-128</c:v>
                </c:pt>
                <c:pt idx="233">
                  <c:v>-127</c:v>
                </c:pt>
                <c:pt idx="234">
                  <c:v>-126</c:v>
                </c:pt>
                <c:pt idx="235">
                  <c:v>-125</c:v>
                </c:pt>
                <c:pt idx="236">
                  <c:v>-124</c:v>
                </c:pt>
                <c:pt idx="237">
                  <c:v>-123</c:v>
                </c:pt>
                <c:pt idx="238">
                  <c:v>-122</c:v>
                </c:pt>
                <c:pt idx="239">
                  <c:v>-121</c:v>
                </c:pt>
                <c:pt idx="240">
                  <c:v>-120</c:v>
                </c:pt>
                <c:pt idx="241">
                  <c:v>-119</c:v>
                </c:pt>
                <c:pt idx="242">
                  <c:v>-118</c:v>
                </c:pt>
                <c:pt idx="243">
                  <c:v>-117</c:v>
                </c:pt>
                <c:pt idx="244">
                  <c:v>-116</c:v>
                </c:pt>
                <c:pt idx="245">
                  <c:v>-115</c:v>
                </c:pt>
                <c:pt idx="246">
                  <c:v>-114</c:v>
                </c:pt>
                <c:pt idx="247">
                  <c:v>-113</c:v>
                </c:pt>
                <c:pt idx="248">
                  <c:v>-112</c:v>
                </c:pt>
                <c:pt idx="249">
                  <c:v>-111</c:v>
                </c:pt>
                <c:pt idx="250">
                  <c:v>-110</c:v>
                </c:pt>
                <c:pt idx="251">
                  <c:v>-109</c:v>
                </c:pt>
                <c:pt idx="252">
                  <c:v>-108</c:v>
                </c:pt>
                <c:pt idx="253">
                  <c:v>-107</c:v>
                </c:pt>
                <c:pt idx="254">
                  <c:v>-106</c:v>
                </c:pt>
                <c:pt idx="255">
                  <c:v>-105</c:v>
                </c:pt>
                <c:pt idx="256">
                  <c:v>-104</c:v>
                </c:pt>
                <c:pt idx="257">
                  <c:v>-103</c:v>
                </c:pt>
                <c:pt idx="258">
                  <c:v>-102</c:v>
                </c:pt>
                <c:pt idx="259">
                  <c:v>-101</c:v>
                </c:pt>
                <c:pt idx="260">
                  <c:v>-100</c:v>
                </c:pt>
                <c:pt idx="261">
                  <c:v>-99</c:v>
                </c:pt>
                <c:pt idx="262">
                  <c:v>-98</c:v>
                </c:pt>
                <c:pt idx="263">
                  <c:v>-97</c:v>
                </c:pt>
                <c:pt idx="264">
                  <c:v>-96</c:v>
                </c:pt>
                <c:pt idx="265">
                  <c:v>-95</c:v>
                </c:pt>
                <c:pt idx="266">
                  <c:v>-94</c:v>
                </c:pt>
                <c:pt idx="267">
                  <c:v>-93</c:v>
                </c:pt>
                <c:pt idx="268">
                  <c:v>-92</c:v>
                </c:pt>
                <c:pt idx="269">
                  <c:v>-91</c:v>
                </c:pt>
                <c:pt idx="270">
                  <c:v>-90</c:v>
                </c:pt>
                <c:pt idx="271">
                  <c:v>-89</c:v>
                </c:pt>
                <c:pt idx="272">
                  <c:v>-88</c:v>
                </c:pt>
                <c:pt idx="273">
                  <c:v>-87</c:v>
                </c:pt>
                <c:pt idx="274">
                  <c:v>-86</c:v>
                </c:pt>
                <c:pt idx="275">
                  <c:v>-85</c:v>
                </c:pt>
                <c:pt idx="276">
                  <c:v>-84</c:v>
                </c:pt>
                <c:pt idx="277">
                  <c:v>-83</c:v>
                </c:pt>
                <c:pt idx="278">
                  <c:v>-82</c:v>
                </c:pt>
                <c:pt idx="279">
                  <c:v>-81</c:v>
                </c:pt>
                <c:pt idx="280">
                  <c:v>-80</c:v>
                </c:pt>
                <c:pt idx="281">
                  <c:v>-79</c:v>
                </c:pt>
                <c:pt idx="282">
                  <c:v>-78</c:v>
                </c:pt>
                <c:pt idx="283">
                  <c:v>-77</c:v>
                </c:pt>
                <c:pt idx="284">
                  <c:v>-76</c:v>
                </c:pt>
                <c:pt idx="285">
                  <c:v>-75</c:v>
                </c:pt>
                <c:pt idx="286">
                  <c:v>-74</c:v>
                </c:pt>
                <c:pt idx="287">
                  <c:v>-73</c:v>
                </c:pt>
                <c:pt idx="288">
                  <c:v>-72</c:v>
                </c:pt>
                <c:pt idx="289">
                  <c:v>-71</c:v>
                </c:pt>
                <c:pt idx="290">
                  <c:v>-70</c:v>
                </c:pt>
                <c:pt idx="291">
                  <c:v>-69</c:v>
                </c:pt>
                <c:pt idx="292">
                  <c:v>-68</c:v>
                </c:pt>
                <c:pt idx="293">
                  <c:v>-67</c:v>
                </c:pt>
                <c:pt idx="294">
                  <c:v>-66</c:v>
                </c:pt>
                <c:pt idx="295">
                  <c:v>-65</c:v>
                </c:pt>
                <c:pt idx="296">
                  <c:v>-64</c:v>
                </c:pt>
                <c:pt idx="297">
                  <c:v>-63</c:v>
                </c:pt>
                <c:pt idx="298">
                  <c:v>-62</c:v>
                </c:pt>
                <c:pt idx="299">
                  <c:v>-61</c:v>
                </c:pt>
                <c:pt idx="300">
                  <c:v>-60</c:v>
                </c:pt>
                <c:pt idx="301">
                  <c:v>-59</c:v>
                </c:pt>
                <c:pt idx="302">
                  <c:v>-58</c:v>
                </c:pt>
                <c:pt idx="303">
                  <c:v>-57</c:v>
                </c:pt>
                <c:pt idx="304">
                  <c:v>-56</c:v>
                </c:pt>
                <c:pt idx="305">
                  <c:v>-55</c:v>
                </c:pt>
                <c:pt idx="306">
                  <c:v>-54</c:v>
                </c:pt>
                <c:pt idx="307">
                  <c:v>-53</c:v>
                </c:pt>
                <c:pt idx="308">
                  <c:v>-52</c:v>
                </c:pt>
                <c:pt idx="309">
                  <c:v>-51</c:v>
                </c:pt>
                <c:pt idx="310">
                  <c:v>-50</c:v>
                </c:pt>
                <c:pt idx="311">
                  <c:v>-49</c:v>
                </c:pt>
                <c:pt idx="312">
                  <c:v>-48</c:v>
                </c:pt>
                <c:pt idx="313">
                  <c:v>-47</c:v>
                </c:pt>
                <c:pt idx="314">
                  <c:v>-46</c:v>
                </c:pt>
                <c:pt idx="315">
                  <c:v>-45</c:v>
                </c:pt>
                <c:pt idx="316">
                  <c:v>-44</c:v>
                </c:pt>
                <c:pt idx="317">
                  <c:v>-43</c:v>
                </c:pt>
                <c:pt idx="318">
                  <c:v>-42</c:v>
                </c:pt>
                <c:pt idx="319">
                  <c:v>-41</c:v>
                </c:pt>
                <c:pt idx="320">
                  <c:v>-40</c:v>
                </c:pt>
                <c:pt idx="321">
                  <c:v>-39</c:v>
                </c:pt>
                <c:pt idx="322">
                  <c:v>-38</c:v>
                </c:pt>
                <c:pt idx="323">
                  <c:v>-37</c:v>
                </c:pt>
                <c:pt idx="324">
                  <c:v>-36</c:v>
                </c:pt>
                <c:pt idx="325">
                  <c:v>-35</c:v>
                </c:pt>
                <c:pt idx="326">
                  <c:v>-34</c:v>
                </c:pt>
                <c:pt idx="327">
                  <c:v>-33</c:v>
                </c:pt>
                <c:pt idx="328">
                  <c:v>-32</c:v>
                </c:pt>
                <c:pt idx="329">
                  <c:v>-31</c:v>
                </c:pt>
                <c:pt idx="330">
                  <c:v>-30</c:v>
                </c:pt>
                <c:pt idx="331">
                  <c:v>-29</c:v>
                </c:pt>
                <c:pt idx="332">
                  <c:v>-28</c:v>
                </c:pt>
                <c:pt idx="333">
                  <c:v>-27</c:v>
                </c:pt>
                <c:pt idx="334">
                  <c:v>-26</c:v>
                </c:pt>
                <c:pt idx="335">
                  <c:v>-25</c:v>
                </c:pt>
                <c:pt idx="336">
                  <c:v>-24</c:v>
                </c:pt>
                <c:pt idx="337">
                  <c:v>-23</c:v>
                </c:pt>
                <c:pt idx="338">
                  <c:v>-22</c:v>
                </c:pt>
                <c:pt idx="339">
                  <c:v>-21</c:v>
                </c:pt>
                <c:pt idx="340">
                  <c:v>-20</c:v>
                </c:pt>
                <c:pt idx="341">
                  <c:v>-19</c:v>
                </c:pt>
                <c:pt idx="342">
                  <c:v>-18</c:v>
                </c:pt>
                <c:pt idx="343">
                  <c:v>-17</c:v>
                </c:pt>
                <c:pt idx="344">
                  <c:v>-16</c:v>
                </c:pt>
                <c:pt idx="345">
                  <c:v>-15</c:v>
                </c:pt>
                <c:pt idx="346">
                  <c:v>-14</c:v>
                </c:pt>
                <c:pt idx="347">
                  <c:v>-13</c:v>
                </c:pt>
                <c:pt idx="348">
                  <c:v>-12</c:v>
                </c:pt>
                <c:pt idx="349">
                  <c:v>-11</c:v>
                </c:pt>
                <c:pt idx="350">
                  <c:v>-10</c:v>
                </c:pt>
                <c:pt idx="351">
                  <c:v>-9</c:v>
                </c:pt>
                <c:pt idx="352">
                  <c:v>-8</c:v>
                </c:pt>
                <c:pt idx="353">
                  <c:v>-7</c:v>
                </c:pt>
                <c:pt idx="354">
                  <c:v>-6</c:v>
                </c:pt>
                <c:pt idx="355">
                  <c:v>-5</c:v>
                </c:pt>
                <c:pt idx="356">
                  <c:v>-4</c:v>
                </c:pt>
                <c:pt idx="357">
                  <c:v>-3</c:v>
                </c:pt>
                <c:pt idx="358">
                  <c:v>-2</c:v>
                </c:pt>
                <c:pt idx="359">
                  <c:v>-1</c:v>
                </c:pt>
                <c:pt idx="360">
                  <c:v>0</c:v>
                </c:pt>
                <c:pt idx="361">
                  <c:v>1</c:v>
                </c:pt>
                <c:pt idx="362">
                  <c:v>2</c:v>
                </c:pt>
                <c:pt idx="363">
                  <c:v>3</c:v>
                </c:pt>
                <c:pt idx="364">
                  <c:v>4</c:v>
                </c:pt>
                <c:pt idx="365">
                  <c:v>5</c:v>
                </c:pt>
                <c:pt idx="366">
                  <c:v>6</c:v>
                </c:pt>
                <c:pt idx="367">
                  <c:v>7</c:v>
                </c:pt>
                <c:pt idx="368">
                  <c:v>8</c:v>
                </c:pt>
                <c:pt idx="369">
                  <c:v>9</c:v>
                </c:pt>
                <c:pt idx="370">
                  <c:v>10</c:v>
                </c:pt>
                <c:pt idx="371">
                  <c:v>11</c:v>
                </c:pt>
                <c:pt idx="372">
                  <c:v>12</c:v>
                </c:pt>
                <c:pt idx="373">
                  <c:v>13</c:v>
                </c:pt>
                <c:pt idx="374">
                  <c:v>14</c:v>
                </c:pt>
                <c:pt idx="375">
                  <c:v>15</c:v>
                </c:pt>
                <c:pt idx="376">
                  <c:v>16</c:v>
                </c:pt>
                <c:pt idx="377">
                  <c:v>17</c:v>
                </c:pt>
                <c:pt idx="378">
                  <c:v>18</c:v>
                </c:pt>
                <c:pt idx="379">
                  <c:v>19</c:v>
                </c:pt>
                <c:pt idx="380">
                  <c:v>20</c:v>
                </c:pt>
                <c:pt idx="381">
                  <c:v>21</c:v>
                </c:pt>
                <c:pt idx="382">
                  <c:v>22</c:v>
                </c:pt>
                <c:pt idx="383">
                  <c:v>23</c:v>
                </c:pt>
                <c:pt idx="384">
                  <c:v>24</c:v>
                </c:pt>
                <c:pt idx="385">
                  <c:v>25</c:v>
                </c:pt>
                <c:pt idx="386">
                  <c:v>26</c:v>
                </c:pt>
                <c:pt idx="387">
                  <c:v>27</c:v>
                </c:pt>
                <c:pt idx="388">
                  <c:v>28</c:v>
                </c:pt>
                <c:pt idx="389">
                  <c:v>29</c:v>
                </c:pt>
                <c:pt idx="390">
                  <c:v>30</c:v>
                </c:pt>
                <c:pt idx="391">
                  <c:v>31</c:v>
                </c:pt>
                <c:pt idx="392">
                  <c:v>32</c:v>
                </c:pt>
                <c:pt idx="393">
                  <c:v>33</c:v>
                </c:pt>
                <c:pt idx="394">
                  <c:v>34</c:v>
                </c:pt>
                <c:pt idx="395">
                  <c:v>35</c:v>
                </c:pt>
                <c:pt idx="396">
                  <c:v>36</c:v>
                </c:pt>
                <c:pt idx="397">
                  <c:v>37</c:v>
                </c:pt>
                <c:pt idx="398">
                  <c:v>38</c:v>
                </c:pt>
                <c:pt idx="399">
                  <c:v>39</c:v>
                </c:pt>
                <c:pt idx="400">
                  <c:v>40</c:v>
                </c:pt>
                <c:pt idx="401">
                  <c:v>41</c:v>
                </c:pt>
                <c:pt idx="402">
                  <c:v>42</c:v>
                </c:pt>
                <c:pt idx="403">
                  <c:v>43</c:v>
                </c:pt>
                <c:pt idx="404">
                  <c:v>44</c:v>
                </c:pt>
                <c:pt idx="405">
                  <c:v>45</c:v>
                </c:pt>
                <c:pt idx="406">
                  <c:v>46</c:v>
                </c:pt>
                <c:pt idx="407">
                  <c:v>47</c:v>
                </c:pt>
                <c:pt idx="408">
                  <c:v>48</c:v>
                </c:pt>
                <c:pt idx="409">
                  <c:v>49</c:v>
                </c:pt>
                <c:pt idx="410">
                  <c:v>50</c:v>
                </c:pt>
                <c:pt idx="411">
                  <c:v>51</c:v>
                </c:pt>
                <c:pt idx="412">
                  <c:v>52</c:v>
                </c:pt>
                <c:pt idx="413">
                  <c:v>53</c:v>
                </c:pt>
                <c:pt idx="414">
                  <c:v>54</c:v>
                </c:pt>
                <c:pt idx="415">
                  <c:v>55</c:v>
                </c:pt>
                <c:pt idx="416">
                  <c:v>56</c:v>
                </c:pt>
                <c:pt idx="417">
                  <c:v>57</c:v>
                </c:pt>
                <c:pt idx="418">
                  <c:v>58</c:v>
                </c:pt>
                <c:pt idx="419">
                  <c:v>59</c:v>
                </c:pt>
                <c:pt idx="420">
                  <c:v>60</c:v>
                </c:pt>
                <c:pt idx="421">
                  <c:v>61</c:v>
                </c:pt>
                <c:pt idx="422">
                  <c:v>62</c:v>
                </c:pt>
                <c:pt idx="423">
                  <c:v>63</c:v>
                </c:pt>
                <c:pt idx="424">
                  <c:v>64</c:v>
                </c:pt>
                <c:pt idx="425">
                  <c:v>65</c:v>
                </c:pt>
                <c:pt idx="426">
                  <c:v>66</c:v>
                </c:pt>
                <c:pt idx="427">
                  <c:v>67</c:v>
                </c:pt>
                <c:pt idx="428">
                  <c:v>68</c:v>
                </c:pt>
                <c:pt idx="429">
                  <c:v>69</c:v>
                </c:pt>
                <c:pt idx="430">
                  <c:v>70</c:v>
                </c:pt>
                <c:pt idx="431">
                  <c:v>71</c:v>
                </c:pt>
                <c:pt idx="432">
                  <c:v>72</c:v>
                </c:pt>
                <c:pt idx="433">
                  <c:v>73</c:v>
                </c:pt>
                <c:pt idx="434">
                  <c:v>74</c:v>
                </c:pt>
                <c:pt idx="435">
                  <c:v>75</c:v>
                </c:pt>
                <c:pt idx="436">
                  <c:v>76</c:v>
                </c:pt>
                <c:pt idx="437">
                  <c:v>77</c:v>
                </c:pt>
                <c:pt idx="438">
                  <c:v>78</c:v>
                </c:pt>
                <c:pt idx="439">
                  <c:v>79</c:v>
                </c:pt>
                <c:pt idx="440">
                  <c:v>80</c:v>
                </c:pt>
                <c:pt idx="441">
                  <c:v>81</c:v>
                </c:pt>
                <c:pt idx="442">
                  <c:v>82</c:v>
                </c:pt>
                <c:pt idx="443">
                  <c:v>83</c:v>
                </c:pt>
                <c:pt idx="444">
                  <c:v>84</c:v>
                </c:pt>
                <c:pt idx="445">
                  <c:v>85</c:v>
                </c:pt>
                <c:pt idx="446">
                  <c:v>86</c:v>
                </c:pt>
                <c:pt idx="447">
                  <c:v>87</c:v>
                </c:pt>
                <c:pt idx="448">
                  <c:v>88</c:v>
                </c:pt>
                <c:pt idx="449">
                  <c:v>89</c:v>
                </c:pt>
                <c:pt idx="450">
                  <c:v>90</c:v>
                </c:pt>
                <c:pt idx="451">
                  <c:v>91</c:v>
                </c:pt>
                <c:pt idx="452">
                  <c:v>92</c:v>
                </c:pt>
                <c:pt idx="453">
                  <c:v>93</c:v>
                </c:pt>
                <c:pt idx="454">
                  <c:v>94</c:v>
                </c:pt>
                <c:pt idx="455">
                  <c:v>95</c:v>
                </c:pt>
                <c:pt idx="456">
                  <c:v>96</c:v>
                </c:pt>
                <c:pt idx="457">
                  <c:v>97</c:v>
                </c:pt>
                <c:pt idx="458">
                  <c:v>98</c:v>
                </c:pt>
                <c:pt idx="459">
                  <c:v>99</c:v>
                </c:pt>
                <c:pt idx="460">
                  <c:v>100</c:v>
                </c:pt>
                <c:pt idx="461">
                  <c:v>101</c:v>
                </c:pt>
                <c:pt idx="462">
                  <c:v>102</c:v>
                </c:pt>
                <c:pt idx="463">
                  <c:v>103</c:v>
                </c:pt>
                <c:pt idx="464">
                  <c:v>104</c:v>
                </c:pt>
                <c:pt idx="465">
                  <c:v>105</c:v>
                </c:pt>
                <c:pt idx="466">
                  <c:v>106</c:v>
                </c:pt>
                <c:pt idx="467">
                  <c:v>107</c:v>
                </c:pt>
                <c:pt idx="468">
                  <c:v>108</c:v>
                </c:pt>
                <c:pt idx="469">
                  <c:v>109</c:v>
                </c:pt>
                <c:pt idx="470">
                  <c:v>110</c:v>
                </c:pt>
                <c:pt idx="471">
                  <c:v>111</c:v>
                </c:pt>
                <c:pt idx="472">
                  <c:v>112</c:v>
                </c:pt>
                <c:pt idx="473">
                  <c:v>113</c:v>
                </c:pt>
                <c:pt idx="474">
                  <c:v>114</c:v>
                </c:pt>
                <c:pt idx="475">
                  <c:v>115</c:v>
                </c:pt>
                <c:pt idx="476">
                  <c:v>116</c:v>
                </c:pt>
                <c:pt idx="477">
                  <c:v>117</c:v>
                </c:pt>
                <c:pt idx="478">
                  <c:v>118</c:v>
                </c:pt>
                <c:pt idx="479">
                  <c:v>119</c:v>
                </c:pt>
                <c:pt idx="480">
                  <c:v>120</c:v>
                </c:pt>
                <c:pt idx="481">
                  <c:v>121</c:v>
                </c:pt>
                <c:pt idx="482">
                  <c:v>122</c:v>
                </c:pt>
                <c:pt idx="483">
                  <c:v>123</c:v>
                </c:pt>
                <c:pt idx="484">
                  <c:v>124</c:v>
                </c:pt>
                <c:pt idx="485">
                  <c:v>125</c:v>
                </c:pt>
                <c:pt idx="486">
                  <c:v>126</c:v>
                </c:pt>
                <c:pt idx="487">
                  <c:v>127</c:v>
                </c:pt>
                <c:pt idx="488">
                  <c:v>128</c:v>
                </c:pt>
                <c:pt idx="489">
                  <c:v>129</c:v>
                </c:pt>
                <c:pt idx="490">
                  <c:v>130</c:v>
                </c:pt>
                <c:pt idx="491">
                  <c:v>131</c:v>
                </c:pt>
                <c:pt idx="492">
                  <c:v>132</c:v>
                </c:pt>
                <c:pt idx="493">
                  <c:v>133</c:v>
                </c:pt>
                <c:pt idx="494">
                  <c:v>134</c:v>
                </c:pt>
                <c:pt idx="495">
                  <c:v>135</c:v>
                </c:pt>
                <c:pt idx="496">
                  <c:v>136</c:v>
                </c:pt>
                <c:pt idx="497">
                  <c:v>137</c:v>
                </c:pt>
                <c:pt idx="498">
                  <c:v>138</c:v>
                </c:pt>
                <c:pt idx="499">
                  <c:v>139</c:v>
                </c:pt>
                <c:pt idx="500">
                  <c:v>140</c:v>
                </c:pt>
                <c:pt idx="501">
                  <c:v>141</c:v>
                </c:pt>
                <c:pt idx="502">
                  <c:v>142</c:v>
                </c:pt>
                <c:pt idx="503">
                  <c:v>143</c:v>
                </c:pt>
                <c:pt idx="504">
                  <c:v>144</c:v>
                </c:pt>
                <c:pt idx="505">
                  <c:v>145</c:v>
                </c:pt>
                <c:pt idx="506">
                  <c:v>146</c:v>
                </c:pt>
                <c:pt idx="507">
                  <c:v>147</c:v>
                </c:pt>
                <c:pt idx="508">
                  <c:v>148</c:v>
                </c:pt>
                <c:pt idx="509">
                  <c:v>149</c:v>
                </c:pt>
                <c:pt idx="510">
                  <c:v>150</c:v>
                </c:pt>
                <c:pt idx="511">
                  <c:v>151</c:v>
                </c:pt>
                <c:pt idx="512">
                  <c:v>152</c:v>
                </c:pt>
                <c:pt idx="513">
                  <c:v>153</c:v>
                </c:pt>
                <c:pt idx="514">
                  <c:v>154</c:v>
                </c:pt>
                <c:pt idx="515">
                  <c:v>155</c:v>
                </c:pt>
                <c:pt idx="516">
                  <c:v>156</c:v>
                </c:pt>
                <c:pt idx="517">
                  <c:v>157</c:v>
                </c:pt>
                <c:pt idx="518">
                  <c:v>158</c:v>
                </c:pt>
                <c:pt idx="519">
                  <c:v>159</c:v>
                </c:pt>
                <c:pt idx="520">
                  <c:v>160</c:v>
                </c:pt>
                <c:pt idx="521">
                  <c:v>161</c:v>
                </c:pt>
                <c:pt idx="522">
                  <c:v>162</c:v>
                </c:pt>
                <c:pt idx="523">
                  <c:v>163</c:v>
                </c:pt>
                <c:pt idx="524">
                  <c:v>164</c:v>
                </c:pt>
                <c:pt idx="525">
                  <c:v>165</c:v>
                </c:pt>
                <c:pt idx="526">
                  <c:v>166</c:v>
                </c:pt>
                <c:pt idx="527">
                  <c:v>167</c:v>
                </c:pt>
                <c:pt idx="528">
                  <c:v>168</c:v>
                </c:pt>
                <c:pt idx="529">
                  <c:v>169</c:v>
                </c:pt>
                <c:pt idx="530">
                  <c:v>170</c:v>
                </c:pt>
                <c:pt idx="531">
                  <c:v>171</c:v>
                </c:pt>
                <c:pt idx="532">
                  <c:v>172</c:v>
                </c:pt>
                <c:pt idx="533">
                  <c:v>173</c:v>
                </c:pt>
                <c:pt idx="534">
                  <c:v>174</c:v>
                </c:pt>
                <c:pt idx="535">
                  <c:v>175</c:v>
                </c:pt>
                <c:pt idx="536">
                  <c:v>176</c:v>
                </c:pt>
                <c:pt idx="537">
                  <c:v>177</c:v>
                </c:pt>
                <c:pt idx="538">
                  <c:v>178</c:v>
                </c:pt>
                <c:pt idx="539">
                  <c:v>179</c:v>
                </c:pt>
                <c:pt idx="540">
                  <c:v>180</c:v>
                </c:pt>
                <c:pt idx="541">
                  <c:v>181</c:v>
                </c:pt>
                <c:pt idx="542">
                  <c:v>182</c:v>
                </c:pt>
                <c:pt idx="543">
                  <c:v>183</c:v>
                </c:pt>
                <c:pt idx="544">
                  <c:v>184</c:v>
                </c:pt>
                <c:pt idx="545">
                  <c:v>185</c:v>
                </c:pt>
                <c:pt idx="546">
                  <c:v>186</c:v>
                </c:pt>
                <c:pt idx="547">
                  <c:v>187</c:v>
                </c:pt>
                <c:pt idx="548">
                  <c:v>188</c:v>
                </c:pt>
                <c:pt idx="549">
                  <c:v>189</c:v>
                </c:pt>
                <c:pt idx="550">
                  <c:v>190</c:v>
                </c:pt>
                <c:pt idx="551">
                  <c:v>191</c:v>
                </c:pt>
                <c:pt idx="552">
                  <c:v>192</c:v>
                </c:pt>
                <c:pt idx="553">
                  <c:v>193</c:v>
                </c:pt>
                <c:pt idx="554">
                  <c:v>194</c:v>
                </c:pt>
                <c:pt idx="555">
                  <c:v>195</c:v>
                </c:pt>
                <c:pt idx="556">
                  <c:v>196</c:v>
                </c:pt>
                <c:pt idx="557">
                  <c:v>197</c:v>
                </c:pt>
                <c:pt idx="558">
                  <c:v>198</c:v>
                </c:pt>
                <c:pt idx="559">
                  <c:v>199</c:v>
                </c:pt>
                <c:pt idx="560">
                  <c:v>200</c:v>
                </c:pt>
                <c:pt idx="561">
                  <c:v>201</c:v>
                </c:pt>
                <c:pt idx="562">
                  <c:v>202</c:v>
                </c:pt>
                <c:pt idx="563">
                  <c:v>203</c:v>
                </c:pt>
                <c:pt idx="564">
                  <c:v>204</c:v>
                </c:pt>
                <c:pt idx="565">
                  <c:v>205</c:v>
                </c:pt>
                <c:pt idx="566">
                  <c:v>206</c:v>
                </c:pt>
                <c:pt idx="567">
                  <c:v>207</c:v>
                </c:pt>
                <c:pt idx="568">
                  <c:v>208</c:v>
                </c:pt>
                <c:pt idx="569">
                  <c:v>209</c:v>
                </c:pt>
                <c:pt idx="570">
                  <c:v>210</c:v>
                </c:pt>
                <c:pt idx="571">
                  <c:v>211</c:v>
                </c:pt>
                <c:pt idx="572">
                  <c:v>212</c:v>
                </c:pt>
                <c:pt idx="573">
                  <c:v>213</c:v>
                </c:pt>
                <c:pt idx="574">
                  <c:v>214</c:v>
                </c:pt>
                <c:pt idx="575">
                  <c:v>215</c:v>
                </c:pt>
                <c:pt idx="576">
                  <c:v>216</c:v>
                </c:pt>
                <c:pt idx="577">
                  <c:v>217</c:v>
                </c:pt>
                <c:pt idx="578">
                  <c:v>218</c:v>
                </c:pt>
                <c:pt idx="579">
                  <c:v>219</c:v>
                </c:pt>
                <c:pt idx="580">
                  <c:v>220</c:v>
                </c:pt>
                <c:pt idx="581">
                  <c:v>221</c:v>
                </c:pt>
                <c:pt idx="582">
                  <c:v>222</c:v>
                </c:pt>
                <c:pt idx="583">
                  <c:v>223</c:v>
                </c:pt>
                <c:pt idx="584">
                  <c:v>224</c:v>
                </c:pt>
                <c:pt idx="585">
                  <c:v>225</c:v>
                </c:pt>
                <c:pt idx="586">
                  <c:v>226</c:v>
                </c:pt>
                <c:pt idx="587">
                  <c:v>227</c:v>
                </c:pt>
                <c:pt idx="588">
                  <c:v>228</c:v>
                </c:pt>
                <c:pt idx="589">
                  <c:v>229</c:v>
                </c:pt>
                <c:pt idx="590">
                  <c:v>230</c:v>
                </c:pt>
                <c:pt idx="591">
                  <c:v>231</c:v>
                </c:pt>
                <c:pt idx="592">
                  <c:v>232</c:v>
                </c:pt>
                <c:pt idx="593">
                  <c:v>233</c:v>
                </c:pt>
                <c:pt idx="594">
                  <c:v>234</c:v>
                </c:pt>
                <c:pt idx="595">
                  <c:v>235</c:v>
                </c:pt>
                <c:pt idx="596">
                  <c:v>236</c:v>
                </c:pt>
                <c:pt idx="597">
                  <c:v>237</c:v>
                </c:pt>
                <c:pt idx="598">
                  <c:v>238</c:v>
                </c:pt>
                <c:pt idx="599">
                  <c:v>239</c:v>
                </c:pt>
                <c:pt idx="600">
                  <c:v>240</c:v>
                </c:pt>
                <c:pt idx="601">
                  <c:v>241</c:v>
                </c:pt>
                <c:pt idx="602">
                  <c:v>242</c:v>
                </c:pt>
                <c:pt idx="603">
                  <c:v>243</c:v>
                </c:pt>
                <c:pt idx="604">
                  <c:v>244</c:v>
                </c:pt>
                <c:pt idx="605">
                  <c:v>245</c:v>
                </c:pt>
                <c:pt idx="606">
                  <c:v>246</c:v>
                </c:pt>
                <c:pt idx="607">
                  <c:v>247</c:v>
                </c:pt>
                <c:pt idx="608">
                  <c:v>248</c:v>
                </c:pt>
                <c:pt idx="609">
                  <c:v>249</c:v>
                </c:pt>
                <c:pt idx="610">
                  <c:v>250</c:v>
                </c:pt>
                <c:pt idx="611">
                  <c:v>251</c:v>
                </c:pt>
                <c:pt idx="612">
                  <c:v>252</c:v>
                </c:pt>
                <c:pt idx="613">
                  <c:v>253</c:v>
                </c:pt>
                <c:pt idx="614">
                  <c:v>254</c:v>
                </c:pt>
                <c:pt idx="615">
                  <c:v>255</c:v>
                </c:pt>
                <c:pt idx="616">
                  <c:v>256</c:v>
                </c:pt>
                <c:pt idx="617">
                  <c:v>257</c:v>
                </c:pt>
                <c:pt idx="618">
                  <c:v>258</c:v>
                </c:pt>
                <c:pt idx="619">
                  <c:v>259</c:v>
                </c:pt>
                <c:pt idx="620">
                  <c:v>260</c:v>
                </c:pt>
                <c:pt idx="621">
                  <c:v>261</c:v>
                </c:pt>
                <c:pt idx="622">
                  <c:v>262</c:v>
                </c:pt>
                <c:pt idx="623">
                  <c:v>263</c:v>
                </c:pt>
                <c:pt idx="624">
                  <c:v>264</c:v>
                </c:pt>
                <c:pt idx="625">
                  <c:v>265</c:v>
                </c:pt>
                <c:pt idx="626">
                  <c:v>266</c:v>
                </c:pt>
                <c:pt idx="627">
                  <c:v>267</c:v>
                </c:pt>
                <c:pt idx="628">
                  <c:v>268</c:v>
                </c:pt>
                <c:pt idx="629">
                  <c:v>269</c:v>
                </c:pt>
                <c:pt idx="630">
                  <c:v>270</c:v>
                </c:pt>
                <c:pt idx="631">
                  <c:v>271</c:v>
                </c:pt>
                <c:pt idx="632">
                  <c:v>272</c:v>
                </c:pt>
                <c:pt idx="633">
                  <c:v>273</c:v>
                </c:pt>
                <c:pt idx="634">
                  <c:v>274</c:v>
                </c:pt>
                <c:pt idx="635">
                  <c:v>275</c:v>
                </c:pt>
                <c:pt idx="636">
                  <c:v>276</c:v>
                </c:pt>
                <c:pt idx="637">
                  <c:v>277</c:v>
                </c:pt>
                <c:pt idx="638">
                  <c:v>278</c:v>
                </c:pt>
                <c:pt idx="639">
                  <c:v>279</c:v>
                </c:pt>
                <c:pt idx="640">
                  <c:v>280</c:v>
                </c:pt>
                <c:pt idx="641">
                  <c:v>281</c:v>
                </c:pt>
                <c:pt idx="642">
                  <c:v>282</c:v>
                </c:pt>
                <c:pt idx="643">
                  <c:v>283</c:v>
                </c:pt>
                <c:pt idx="644">
                  <c:v>284</c:v>
                </c:pt>
                <c:pt idx="645">
                  <c:v>285</c:v>
                </c:pt>
                <c:pt idx="646">
                  <c:v>286</c:v>
                </c:pt>
                <c:pt idx="647">
                  <c:v>287</c:v>
                </c:pt>
                <c:pt idx="648">
                  <c:v>288</c:v>
                </c:pt>
                <c:pt idx="649">
                  <c:v>289</c:v>
                </c:pt>
                <c:pt idx="650">
                  <c:v>290</c:v>
                </c:pt>
                <c:pt idx="651">
                  <c:v>291</c:v>
                </c:pt>
                <c:pt idx="652">
                  <c:v>292</c:v>
                </c:pt>
                <c:pt idx="653">
                  <c:v>293</c:v>
                </c:pt>
                <c:pt idx="654">
                  <c:v>294</c:v>
                </c:pt>
                <c:pt idx="655">
                  <c:v>295</c:v>
                </c:pt>
                <c:pt idx="656">
                  <c:v>296</c:v>
                </c:pt>
                <c:pt idx="657">
                  <c:v>297</c:v>
                </c:pt>
                <c:pt idx="658">
                  <c:v>298</c:v>
                </c:pt>
                <c:pt idx="659">
                  <c:v>299</c:v>
                </c:pt>
                <c:pt idx="660">
                  <c:v>300</c:v>
                </c:pt>
                <c:pt idx="661">
                  <c:v>301</c:v>
                </c:pt>
                <c:pt idx="662">
                  <c:v>302</c:v>
                </c:pt>
                <c:pt idx="663">
                  <c:v>303</c:v>
                </c:pt>
                <c:pt idx="664">
                  <c:v>304</c:v>
                </c:pt>
                <c:pt idx="665">
                  <c:v>305</c:v>
                </c:pt>
                <c:pt idx="666">
                  <c:v>306</c:v>
                </c:pt>
                <c:pt idx="667">
                  <c:v>307</c:v>
                </c:pt>
                <c:pt idx="668">
                  <c:v>308</c:v>
                </c:pt>
                <c:pt idx="669">
                  <c:v>309</c:v>
                </c:pt>
                <c:pt idx="670">
                  <c:v>310</c:v>
                </c:pt>
                <c:pt idx="671">
                  <c:v>311</c:v>
                </c:pt>
                <c:pt idx="672">
                  <c:v>312</c:v>
                </c:pt>
                <c:pt idx="673">
                  <c:v>313</c:v>
                </c:pt>
                <c:pt idx="674">
                  <c:v>314</c:v>
                </c:pt>
                <c:pt idx="675">
                  <c:v>315</c:v>
                </c:pt>
                <c:pt idx="676">
                  <c:v>316</c:v>
                </c:pt>
                <c:pt idx="677">
                  <c:v>317</c:v>
                </c:pt>
                <c:pt idx="678">
                  <c:v>318</c:v>
                </c:pt>
                <c:pt idx="679">
                  <c:v>319</c:v>
                </c:pt>
                <c:pt idx="680">
                  <c:v>320</c:v>
                </c:pt>
                <c:pt idx="681">
                  <c:v>321</c:v>
                </c:pt>
                <c:pt idx="682">
                  <c:v>322</c:v>
                </c:pt>
                <c:pt idx="683">
                  <c:v>323</c:v>
                </c:pt>
                <c:pt idx="684">
                  <c:v>324</c:v>
                </c:pt>
                <c:pt idx="685">
                  <c:v>325</c:v>
                </c:pt>
                <c:pt idx="686">
                  <c:v>326</c:v>
                </c:pt>
                <c:pt idx="687">
                  <c:v>327</c:v>
                </c:pt>
                <c:pt idx="688">
                  <c:v>328</c:v>
                </c:pt>
                <c:pt idx="689">
                  <c:v>329</c:v>
                </c:pt>
                <c:pt idx="690">
                  <c:v>330</c:v>
                </c:pt>
                <c:pt idx="691">
                  <c:v>331</c:v>
                </c:pt>
                <c:pt idx="692">
                  <c:v>332</c:v>
                </c:pt>
                <c:pt idx="693">
                  <c:v>333</c:v>
                </c:pt>
                <c:pt idx="694">
                  <c:v>334</c:v>
                </c:pt>
                <c:pt idx="695">
                  <c:v>335</c:v>
                </c:pt>
                <c:pt idx="696">
                  <c:v>336</c:v>
                </c:pt>
                <c:pt idx="697">
                  <c:v>337</c:v>
                </c:pt>
                <c:pt idx="698">
                  <c:v>338</c:v>
                </c:pt>
                <c:pt idx="699">
                  <c:v>339</c:v>
                </c:pt>
                <c:pt idx="700">
                  <c:v>340</c:v>
                </c:pt>
                <c:pt idx="701">
                  <c:v>341</c:v>
                </c:pt>
                <c:pt idx="702">
                  <c:v>342</c:v>
                </c:pt>
                <c:pt idx="703">
                  <c:v>343</c:v>
                </c:pt>
                <c:pt idx="704">
                  <c:v>344</c:v>
                </c:pt>
                <c:pt idx="705">
                  <c:v>345</c:v>
                </c:pt>
                <c:pt idx="706">
                  <c:v>346</c:v>
                </c:pt>
                <c:pt idx="707">
                  <c:v>347</c:v>
                </c:pt>
                <c:pt idx="708">
                  <c:v>348</c:v>
                </c:pt>
                <c:pt idx="709">
                  <c:v>349</c:v>
                </c:pt>
                <c:pt idx="710">
                  <c:v>350</c:v>
                </c:pt>
                <c:pt idx="711">
                  <c:v>351</c:v>
                </c:pt>
                <c:pt idx="712">
                  <c:v>352</c:v>
                </c:pt>
                <c:pt idx="713">
                  <c:v>353</c:v>
                </c:pt>
                <c:pt idx="714">
                  <c:v>354</c:v>
                </c:pt>
                <c:pt idx="715">
                  <c:v>355</c:v>
                </c:pt>
                <c:pt idx="716">
                  <c:v>356</c:v>
                </c:pt>
                <c:pt idx="717">
                  <c:v>357</c:v>
                </c:pt>
                <c:pt idx="718">
                  <c:v>358</c:v>
                </c:pt>
                <c:pt idx="719">
                  <c:v>359</c:v>
                </c:pt>
              </c:numCache>
            </c:numRef>
          </c:xVal>
          <c:yVal>
            <c:numRef>
              <c:f>Data!$I$3:$I$722</c:f>
              <c:numCache>
                <c:formatCode>0.00</c:formatCode>
                <c:ptCount val="720"/>
              </c:numCache>
            </c:numRef>
          </c:yVal>
          <c:smooth val="1"/>
        </c:ser>
        <c:axId val="164491648"/>
        <c:axId val="164493184"/>
      </c:scatterChart>
      <c:valAx>
        <c:axId val="164491648"/>
        <c:scaling>
          <c:orientation val="minMax"/>
        </c:scaling>
        <c:axPos val="b"/>
        <c:numFmt formatCode="General" sourceLinked="1"/>
        <c:tickLblPos val="nextTo"/>
        <c:crossAx val="164493184"/>
        <c:crosses val="autoZero"/>
        <c:crossBetween val="midCat"/>
      </c:valAx>
      <c:valAx>
        <c:axId val="164493184"/>
        <c:scaling>
          <c:orientation val="minMax"/>
        </c:scaling>
        <c:axPos val="l"/>
        <c:majorGridlines/>
        <c:numFmt formatCode="0.00" sourceLinked="1"/>
        <c:tickLblPos val="nextTo"/>
        <c:crossAx val="1644916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plotArea>
      <c:layout>
        <c:manualLayout>
          <c:layoutTarget val="inner"/>
          <c:xMode val="edge"/>
          <c:yMode val="edge"/>
          <c:x val="0.20731686742085534"/>
          <c:y val="9.1168154580769947E-2"/>
          <c:w val="0.58536527271770356"/>
          <c:h val="0.82051339122690536"/>
        </c:manualLayout>
      </c:layout>
      <c:doughnut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002060"/>
              </a:solidFill>
              <a:ln w="25400">
                <a:noFill/>
              </a:ln>
            </c:spPr>
          </c:dPt>
          <c:dPt>
            <c:idx val="1"/>
            <c:spPr>
              <a:solidFill>
                <a:srgbClr val="002060"/>
              </a:solidFill>
              <a:ln w="25400">
                <a:noFill/>
              </a:ln>
            </c:spPr>
          </c:dPt>
          <c:dPt>
            <c:idx val="2"/>
            <c:explosion val="1"/>
            <c:spPr>
              <a:solidFill>
                <a:srgbClr val="002060"/>
              </a:solidFill>
              <a:ln w="25400">
                <a:noFill/>
              </a:ln>
            </c:spPr>
          </c:dPt>
          <c:dPt>
            <c:idx val="3"/>
            <c:explosion val="4"/>
            <c:spPr>
              <a:solidFill>
                <a:srgbClr val="002060"/>
              </a:solidFill>
              <a:ln w="25400">
                <a:noFill/>
              </a:ln>
            </c:spPr>
          </c:dPt>
          <c:dPt>
            <c:idx val="4"/>
            <c:explosion val="25"/>
            <c:spPr>
              <a:solidFill>
                <a:srgbClr val="C0C0C0"/>
              </a:solidFill>
              <a:ln w="25400">
                <a:noFill/>
              </a:ln>
            </c:spPr>
          </c:dPt>
          <c:dPt>
            <c:idx val="5"/>
            <c:spPr>
              <a:solidFill>
                <a:srgbClr val="002060"/>
              </a:solidFill>
              <a:ln w="25400">
                <a:noFill/>
              </a:ln>
            </c:spPr>
          </c:dPt>
          <c:val>
            <c:numRef>
              <c:f>Data!$P$111:$P$116</c:f>
              <c:numCache>
                <c:formatCode>General</c:formatCode>
                <c:ptCount val="6"/>
                <c:pt idx="0">
                  <c:v>90</c:v>
                </c:pt>
                <c:pt idx="1">
                  <c:v>-90</c:v>
                </c:pt>
                <c:pt idx="2">
                  <c:v>180</c:v>
                </c:pt>
                <c:pt idx="3">
                  <c:v>-180</c:v>
                </c:pt>
                <c:pt idx="4">
                  <c:v>360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FF0000"/>
            </a:solidFill>
          </c:spPr>
          <c:dPt>
            <c:idx val="1"/>
            <c:explosion val="1"/>
            <c:spPr>
              <a:solidFill>
                <a:schemeClr val="bg1">
                  <a:lumMod val="85000"/>
                </a:schemeClr>
              </a:solidFill>
            </c:spPr>
          </c:dPt>
          <c:val>
            <c:numRef>
              <c:f>Data!$R$111:$R$116</c:f>
              <c:numCache>
                <c:formatCode>General</c:formatCode>
                <c:ptCount val="6"/>
                <c:pt idx="0">
                  <c:v>0</c:v>
                </c:pt>
                <c:pt idx="1">
                  <c:v>360</c:v>
                </c:pt>
                <c:pt idx="2">
                  <c:v>-180</c:v>
                </c:pt>
                <c:pt idx="3">
                  <c:v>180</c:v>
                </c:pt>
                <c:pt idx="4">
                  <c:v>-90</c:v>
                </c:pt>
                <c:pt idx="5">
                  <c:v>90</c:v>
                </c:pt>
              </c:numCache>
            </c:numRef>
          </c:val>
        </c:ser>
        <c:firstSliceAng val="0"/>
        <c:holeSize val="50"/>
      </c:doughnutChart>
      <c:spPr>
        <a:noFill/>
        <a:ln w="25400">
          <a:noFill/>
        </a:ln>
      </c:spPr>
    </c:plotArea>
    <c:plotVisOnly val="1"/>
    <c:dispBlanksAs val="zero"/>
  </c:chart>
  <c:spPr>
    <a:solidFill>
      <a:srgbClr val="FFFFFF"/>
    </a:solidFill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it-IT"/>
    </a:p>
  </c:txPr>
  <c:printSettings>
    <c:headerFooter alignWithMargins="0"/>
    <c:pageMargins b="1" l="0.75000000000001465" r="0.75000000000001465" t="1" header="0.51200000000000001" footer="0.51200000000000001"/>
    <c:pageSetup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 GRADI DI INCROCIO</a:t>
            </a:r>
          </a:p>
        </c:rich>
      </c:tx>
      <c:layout>
        <c:manualLayout>
          <c:xMode val="edge"/>
          <c:yMode val="edge"/>
          <c:x val="0.43286588262391312"/>
          <c:y val="7.317108088761631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6.5047431344358933E-2"/>
          <c:y val="0.35366047244095239"/>
          <c:w val="0.91382787886022998"/>
          <c:h val="0.28048947509454308"/>
        </c:manualLayout>
      </c:layout>
      <c:barChart>
        <c:barDir val="bar"/>
        <c:grouping val="clustered"/>
        <c:ser>
          <c:idx val="0"/>
          <c:order val="0"/>
          <c:tx>
            <c:v>オーバーラップレベル</c:v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Data!$O$68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axId val="164855168"/>
        <c:axId val="158221440"/>
      </c:barChart>
      <c:catAx>
        <c:axId val="164855168"/>
        <c:scaling>
          <c:orientation val="minMax"/>
        </c:scaling>
        <c:delete val="1"/>
        <c:axPos val="l"/>
        <c:tickLblPos val="none"/>
        <c:crossAx val="158221440"/>
        <c:crosses val="autoZero"/>
        <c:auto val="1"/>
        <c:lblAlgn val="ctr"/>
        <c:lblOffset val="100"/>
      </c:catAx>
      <c:valAx>
        <c:axId val="158221440"/>
        <c:scaling>
          <c:orientation val="minMax"/>
          <c:max val="100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it-IT"/>
          </a:p>
        </c:txPr>
        <c:crossAx val="1648551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it-IT"/>
    </a:p>
  </c:txPr>
  <c:printSettings>
    <c:headerFooter alignWithMargins="0"/>
    <c:pageMargins b="1" l="0.75000000000001465" r="0.75000000000001465" t="1" header="0.51200000000000001" footer="0.51200000000000001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13</xdr:row>
      <xdr:rowOff>190499</xdr:rowOff>
    </xdr:from>
    <xdr:to>
      <xdr:col>15</xdr:col>
      <xdr:colOff>895350</xdr:colOff>
      <xdr:row>25</xdr:row>
      <xdr:rowOff>28574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14</xdr:row>
      <xdr:rowOff>1</xdr:rowOff>
    </xdr:from>
    <xdr:to>
      <xdr:col>18</xdr:col>
      <xdr:colOff>1247774</xdr:colOff>
      <xdr:row>25</xdr:row>
      <xdr:rowOff>28575</xdr:rowOff>
    </xdr:to>
    <xdr:graphicFrame macro="">
      <xdr:nvGraphicFramePr>
        <xdr:cNvPr id="4" name="Gra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9525</xdr:colOff>
      <xdr:row>28</xdr:row>
      <xdr:rowOff>171449</xdr:rowOff>
    </xdr:from>
    <xdr:to>
      <xdr:col>18</xdr:col>
      <xdr:colOff>1266826</xdr:colOff>
      <xdr:row>44</xdr:row>
      <xdr:rowOff>95248</xdr:rowOff>
    </xdr:to>
    <xdr:graphicFrame macro="">
      <xdr:nvGraphicFramePr>
        <xdr:cNvPr id="6" name="Gra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571500</xdr:colOff>
      <xdr:row>71</xdr:row>
      <xdr:rowOff>19050</xdr:rowOff>
    </xdr:from>
    <xdr:to>
      <xdr:col>19</xdr:col>
      <xdr:colOff>1314450</xdr:colOff>
      <xdr:row>98</xdr:row>
      <xdr:rowOff>0</xdr:rowOff>
    </xdr:to>
    <xdr:graphicFrame macro="">
      <xdr:nvGraphicFramePr>
        <xdr:cNvPr id="8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419099</xdr:colOff>
      <xdr:row>99</xdr:row>
      <xdr:rowOff>9525</xdr:rowOff>
    </xdr:from>
    <xdr:to>
      <xdr:col>19</xdr:col>
      <xdr:colOff>1009649</xdr:colOff>
      <xdr:row>105</xdr:row>
      <xdr:rowOff>57150</xdr:rowOff>
    </xdr:to>
    <xdr:graphicFrame macro="">
      <xdr:nvGraphicFramePr>
        <xdr:cNvPr id="11" name="グラフ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18</xdr:col>
      <xdr:colOff>104775</xdr:colOff>
      <xdr:row>121</xdr:row>
      <xdr:rowOff>123825</xdr:rowOff>
    </xdr:from>
    <xdr:to>
      <xdr:col>19</xdr:col>
      <xdr:colOff>1266825</xdr:colOff>
      <xdr:row>134</xdr:row>
      <xdr:rowOff>85725</xdr:rowOff>
    </xdr:to>
    <xdr:pic>
      <xdr:nvPicPr>
        <xdr:cNvPr id="7" name="Immagine 6" descr="logo.jp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0610850" y="23345775"/>
          <a:ext cx="2438400" cy="2438400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0.03959</cdr:x>
      <cdr:y>0.46555</cdr:y>
    </cdr:from>
    <cdr:to>
      <cdr:x>0.18495</cdr:x>
      <cdr:y>0.55154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9444" y="2065909"/>
          <a:ext cx="911606" cy="424866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/>
        </a:extLst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000" b="1" i="0" u="none" strike="noStrike" baseline="0">
              <a:solidFill>
                <a:srgbClr val="FFFFFF"/>
              </a:solidFill>
              <a:latin typeface="Arial"/>
              <a:ea typeface="Arial"/>
              <a:cs typeface="Arial"/>
            </a:rPr>
            <a:t>SCARICO</a:t>
          </a:r>
        </a:p>
        <a:p xmlns:a="http://schemas.openxmlformats.org/drawingml/2006/main">
          <a:pPr algn="ctr" rtl="0">
            <a:defRPr sz="1000"/>
          </a:pPr>
          <a:r>
            <a:rPr lang="en-US" altLang="ja-JP" sz="1000" b="1" i="0" u="none" strike="noStrike" baseline="0">
              <a:solidFill>
                <a:srgbClr val="FFFFFF"/>
              </a:solidFill>
              <a:latin typeface="Arial"/>
              <a:ea typeface="Arial"/>
              <a:cs typeface="Arial"/>
            </a:rPr>
            <a:t>CAMMA</a:t>
          </a:r>
        </a:p>
      </cdr:txBody>
    </cdr:sp>
  </cdr:relSizeAnchor>
  <cdr:relSizeAnchor xmlns:cdr="http://schemas.openxmlformats.org/drawingml/2006/chartDrawing">
    <cdr:from>
      <cdr:x>0.48205</cdr:x>
      <cdr:y>0.91872</cdr:y>
    </cdr:from>
    <cdr:to>
      <cdr:x>0.58488</cdr:x>
      <cdr:y>0.95678</cdr:y>
    </cdr:to>
    <cdr:sp macro="" textlink="">
      <cdr:nvSpPr>
        <cdr:cNvPr id="205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310473" y="4471686"/>
          <a:ext cx="706219" cy="1852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/>
          <a:ext uri="{91240B29-F687-4f45-9708-019B960494DF}"/>
        </a:extLst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ja-JP" sz="11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PMI "</a:t>
          </a:r>
          <a:r>
            <a:rPr lang="en-US" sz="1000" b="0" i="0">
              <a:effectLst/>
              <a:latin typeface="+mn-lt"/>
              <a:ea typeface="+mn-ea"/>
              <a:cs typeface="+mn-cs"/>
            </a:rPr>
            <a:t>BTDC"</a:t>
          </a:r>
          <a:endParaRPr lang="en-US" altLang="ja-JP" sz="1100" b="1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0.47687</cdr:x>
      <cdr:y>0.46283</cdr:y>
    </cdr:from>
    <cdr:to>
      <cdr:x>0.62159</cdr:x>
      <cdr:y>0.55019</cdr:y>
    </cdr:to>
    <cdr:sp macro="" textlink="">
      <cdr:nvSpPr>
        <cdr:cNvPr id="4" name="CasellaDiTesto 3"/>
        <cdr:cNvSpPr txBox="1"/>
      </cdr:nvSpPr>
      <cdr:spPr>
        <a:xfrm xmlns:a="http://schemas.openxmlformats.org/drawingml/2006/main">
          <a:off x="3829050" y="2371725"/>
          <a:ext cx="1162050" cy="447675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it-IT" sz="1100">
              <a:solidFill>
                <a:schemeClr val="bg1"/>
              </a:solidFill>
            </a:rPr>
            <a:t>ASPIRAZIONE</a:t>
          </a:r>
        </a:p>
        <a:p xmlns:a="http://schemas.openxmlformats.org/drawingml/2006/main">
          <a:pPr algn="ctr"/>
          <a:r>
            <a:rPr lang="it-IT" sz="1100">
              <a:solidFill>
                <a:schemeClr val="bg1"/>
              </a:solidFill>
            </a:rPr>
            <a:t>CAMMA</a:t>
          </a:r>
        </a:p>
      </cdr:txBody>
    </cdr:sp>
  </cdr:relSizeAnchor>
</c:userShapes>
</file>

<file path=xl/queryTables/queryTable1.xml><?xml version="1.0" encoding="utf-8"?>
<queryTable xmlns="http://schemas.openxmlformats.org/spreadsheetml/2006/main" name="DatiEsterni_53" adjustColumnWidth="0" connectionId="13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iEsterni_52" adjustColumnWidth="0" connectionId="45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iEsterni_25" adjustColumnWidth="0" connectionId="6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iEsterni_67" adjustColumnWidth="0" connectionId="28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iEsterni_19" adjustColumnWidth="0" connectionId="1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iEsterni_51" adjustColumnWidth="0" connectionId="27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iEsterni_43" adjustColumnWidth="0" connectionId="23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tiEsterni_36" adjustColumnWidth="0" connectionId="53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tiEsterni_28" adjustColumnWidth="0" connectionId="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tiEsterni_22" adjustColumnWidth="0" connectionId="10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tiEsterni_13" adjustColumnWidth="0" connectionId="34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tiEsterni_45" adjustColumnWidth="0" connectionId="24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tiEsterni_68" adjustColumnWidth="0" connectionId="31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tiEsterni_42" adjustColumnWidth="0" connectionId="58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tiEsterni_60" adjustColumnWidth="0" connectionId="49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tiEsterni_63" adjustColumnWidth="0" connectionId="18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tiEsterni_49" adjustColumnWidth="0" connectionId="26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tiEsterni_61" adjustColumnWidth="0" connectionId="17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tiEsterni_47" adjustColumnWidth="0" connectionId="25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tiEsterni_46" adjustColumnWidth="0" connectionId="42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tiEsterni_27" adjustColumnWidth="0" connectionId="8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tiEsterni_48" adjustColumnWidth="0" connectionId="43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tiEsterni_17" adjustColumnWidth="0" connectionId="36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tiEsterni_30" adjustColumnWidth="0" connectionId="11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tiEsterni_58" adjustColumnWidth="0" connectionId="48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tiEsterni_41" adjustColumnWidth="0" connectionId="22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tiEsterni_38" adjustColumnWidth="0" connectionId="55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tiEsterni_14" adjustColumnWidth="0" connectionId="37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tiEsterni_66" adjustColumnWidth="0" connectionId="30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tiEsterni_54" adjustColumnWidth="0" connectionId="46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tiEsterni_44" adjustColumnWidth="0" connectionId="59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tiEsterni_39" adjustColumnWidth="0" connectionId="56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tiEsterni_16" adjustColumnWidth="0" connectionId="39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tiEsterni_65" adjustColumnWidth="0" connectionId="51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tiEsterni_62" adjustColumnWidth="0" connectionId="50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tiEsterni_69" adjustColumnWidth="0" connectionId="29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tiEsterni_34" adjustColumnWidth="0" connectionId="21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tiEsterni_35" adjustColumnWidth="0" connectionId="52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tiEsterni_21" adjustColumnWidth="0" connectionId="3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tiEsterni_20" adjustColumnWidth="0" connectionId="2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tiEsterni_26" adjustColumnWidth="0" connectionId="7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tiEsterni_37" adjustColumnWidth="0" connectionId="54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tiEsterni_18" adjustColumnWidth="0" connectionId="35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tiEsterni_32" adjustColumnWidth="0" connectionId="12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tiEsterni_57" adjustColumnWidth="0" connectionId="15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tiEsterni_50" adjustColumnWidth="0" connectionId="44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tiEsterni_15" adjustColumnWidth="0" connectionId="38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tiEsterni_64" adjustColumnWidth="0" connectionId="19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tiEsterni_56" adjustColumnWidth="0" connectionId="47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tiEsterni_31" adjustColumnWidth="0" connectionId="41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tiEsterni_55" adjustColumnWidth="0" connectionId="14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tiEsterni_59" adjustColumnWidth="0" connectionId="16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tiEsterni_40" adjustColumnWidth="0" connectionId="57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tiEsterni_29" adjustColumnWidth="0" connectionId="40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tiEsterni_33" adjustColumnWidth="0" connectionId="20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tiEsterni_23" adjustColumnWidth="0" connectionId="4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6.xml"/><Relationship Id="rId18" Type="http://schemas.openxmlformats.org/officeDocument/2006/relationships/queryTable" Target="../queryTables/queryTable11.xml"/><Relationship Id="rId26" Type="http://schemas.openxmlformats.org/officeDocument/2006/relationships/queryTable" Target="../queryTables/queryTable19.xml"/><Relationship Id="rId39" Type="http://schemas.openxmlformats.org/officeDocument/2006/relationships/queryTable" Target="../queryTables/queryTable32.xml"/><Relationship Id="rId21" Type="http://schemas.openxmlformats.org/officeDocument/2006/relationships/queryTable" Target="../queryTables/queryTable14.xml"/><Relationship Id="rId34" Type="http://schemas.openxmlformats.org/officeDocument/2006/relationships/queryTable" Target="../queryTables/queryTable27.xml"/><Relationship Id="rId42" Type="http://schemas.openxmlformats.org/officeDocument/2006/relationships/queryTable" Target="../queryTables/queryTable35.xml"/><Relationship Id="rId47" Type="http://schemas.openxmlformats.org/officeDocument/2006/relationships/queryTable" Target="../queryTables/queryTable40.xml"/><Relationship Id="rId50" Type="http://schemas.openxmlformats.org/officeDocument/2006/relationships/queryTable" Target="../queryTables/queryTable43.xml"/><Relationship Id="rId55" Type="http://schemas.openxmlformats.org/officeDocument/2006/relationships/queryTable" Target="../queryTables/queryTable48.xml"/><Relationship Id="rId63" Type="http://schemas.openxmlformats.org/officeDocument/2006/relationships/queryTable" Target="../queryTables/queryTable56.x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9.xml"/><Relationship Id="rId20" Type="http://schemas.openxmlformats.org/officeDocument/2006/relationships/queryTable" Target="../queryTables/queryTable13.xml"/><Relationship Id="rId29" Type="http://schemas.openxmlformats.org/officeDocument/2006/relationships/queryTable" Target="../queryTables/queryTable22.xml"/><Relationship Id="rId41" Type="http://schemas.openxmlformats.org/officeDocument/2006/relationships/queryTable" Target="../queryTables/queryTable34.xml"/><Relationship Id="rId54" Type="http://schemas.openxmlformats.org/officeDocument/2006/relationships/queryTable" Target="../queryTables/queryTable47.xml"/><Relationship Id="rId6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queryTable" Target="../queryTables/queryTable4.xml"/><Relationship Id="rId24" Type="http://schemas.openxmlformats.org/officeDocument/2006/relationships/queryTable" Target="../queryTables/queryTable17.xml"/><Relationship Id="rId32" Type="http://schemas.openxmlformats.org/officeDocument/2006/relationships/queryTable" Target="../queryTables/queryTable25.xml"/><Relationship Id="rId37" Type="http://schemas.openxmlformats.org/officeDocument/2006/relationships/queryTable" Target="../queryTables/queryTable30.xml"/><Relationship Id="rId40" Type="http://schemas.openxmlformats.org/officeDocument/2006/relationships/queryTable" Target="../queryTables/queryTable33.xml"/><Relationship Id="rId45" Type="http://schemas.openxmlformats.org/officeDocument/2006/relationships/queryTable" Target="../queryTables/queryTable38.xml"/><Relationship Id="rId53" Type="http://schemas.openxmlformats.org/officeDocument/2006/relationships/queryTable" Target="../queryTables/queryTable46.xml"/><Relationship Id="rId58" Type="http://schemas.openxmlformats.org/officeDocument/2006/relationships/queryTable" Target="../queryTables/queryTable51.xml"/><Relationship Id="rId5" Type="http://schemas.openxmlformats.org/officeDocument/2006/relationships/control" Target="../activeX/activeX2.xml"/><Relationship Id="rId15" Type="http://schemas.openxmlformats.org/officeDocument/2006/relationships/queryTable" Target="../queryTables/queryTable8.xml"/><Relationship Id="rId23" Type="http://schemas.openxmlformats.org/officeDocument/2006/relationships/queryTable" Target="../queryTables/queryTable16.xml"/><Relationship Id="rId28" Type="http://schemas.openxmlformats.org/officeDocument/2006/relationships/queryTable" Target="../queryTables/queryTable21.xml"/><Relationship Id="rId36" Type="http://schemas.openxmlformats.org/officeDocument/2006/relationships/queryTable" Target="../queryTables/queryTable29.xml"/><Relationship Id="rId49" Type="http://schemas.openxmlformats.org/officeDocument/2006/relationships/queryTable" Target="../queryTables/queryTable42.xml"/><Relationship Id="rId57" Type="http://schemas.openxmlformats.org/officeDocument/2006/relationships/queryTable" Target="../queryTables/queryTable50.xml"/><Relationship Id="rId61" Type="http://schemas.openxmlformats.org/officeDocument/2006/relationships/queryTable" Target="../queryTables/queryTable54.xml"/><Relationship Id="rId10" Type="http://schemas.openxmlformats.org/officeDocument/2006/relationships/queryTable" Target="../queryTables/queryTable3.xml"/><Relationship Id="rId19" Type="http://schemas.openxmlformats.org/officeDocument/2006/relationships/queryTable" Target="../queryTables/queryTable12.xml"/><Relationship Id="rId31" Type="http://schemas.openxmlformats.org/officeDocument/2006/relationships/queryTable" Target="../queryTables/queryTable24.xml"/><Relationship Id="rId44" Type="http://schemas.openxmlformats.org/officeDocument/2006/relationships/queryTable" Target="../queryTables/queryTable37.xml"/><Relationship Id="rId52" Type="http://schemas.openxmlformats.org/officeDocument/2006/relationships/queryTable" Target="../queryTables/queryTable45.xml"/><Relationship Id="rId60" Type="http://schemas.openxmlformats.org/officeDocument/2006/relationships/queryTable" Target="../queryTables/queryTable53.xml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2.xml"/><Relationship Id="rId14" Type="http://schemas.openxmlformats.org/officeDocument/2006/relationships/queryTable" Target="../queryTables/queryTable7.xml"/><Relationship Id="rId22" Type="http://schemas.openxmlformats.org/officeDocument/2006/relationships/queryTable" Target="../queryTables/queryTable15.xml"/><Relationship Id="rId27" Type="http://schemas.openxmlformats.org/officeDocument/2006/relationships/queryTable" Target="../queryTables/queryTable20.xml"/><Relationship Id="rId30" Type="http://schemas.openxmlformats.org/officeDocument/2006/relationships/queryTable" Target="../queryTables/queryTable23.xml"/><Relationship Id="rId35" Type="http://schemas.openxmlformats.org/officeDocument/2006/relationships/queryTable" Target="../queryTables/queryTable28.xml"/><Relationship Id="rId43" Type="http://schemas.openxmlformats.org/officeDocument/2006/relationships/queryTable" Target="../queryTables/queryTable36.xml"/><Relationship Id="rId48" Type="http://schemas.openxmlformats.org/officeDocument/2006/relationships/queryTable" Target="../queryTables/queryTable41.xml"/><Relationship Id="rId56" Type="http://schemas.openxmlformats.org/officeDocument/2006/relationships/queryTable" Target="../queryTables/queryTable49.xml"/><Relationship Id="rId8" Type="http://schemas.openxmlformats.org/officeDocument/2006/relationships/queryTable" Target="../queryTables/queryTable1.xml"/><Relationship Id="rId51" Type="http://schemas.openxmlformats.org/officeDocument/2006/relationships/queryTable" Target="../queryTables/queryTable44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5.xml"/><Relationship Id="rId17" Type="http://schemas.openxmlformats.org/officeDocument/2006/relationships/queryTable" Target="../queryTables/queryTable10.xml"/><Relationship Id="rId25" Type="http://schemas.openxmlformats.org/officeDocument/2006/relationships/queryTable" Target="../queryTables/queryTable18.xml"/><Relationship Id="rId33" Type="http://schemas.openxmlformats.org/officeDocument/2006/relationships/queryTable" Target="../queryTables/queryTable26.xml"/><Relationship Id="rId38" Type="http://schemas.openxmlformats.org/officeDocument/2006/relationships/queryTable" Target="../queryTables/queryTable31.xml"/><Relationship Id="rId46" Type="http://schemas.openxmlformats.org/officeDocument/2006/relationships/queryTable" Target="../queryTables/queryTable39.xml"/><Relationship Id="rId59" Type="http://schemas.openxmlformats.org/officeDocument/2006/relationships/queryTable" Target="../queryTables/queryTable5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1">
    <tabColor theme="6"/>
  </sheetPr>
  <dimension ref="A1:AR743"/>
  <sheetViews>
    <sheetView tabSelected="1" workbookViewId="0">
      <selection activeCell="AR29" sqref="AR29"/>
    </sheetView>
  </sheetViews>
  <sheetFormatPr defaultRowHeight="15"/>
  <cols>
    <col min="1" max="1" width="11.85546875" customWidth="1"/>
    <col min="2" max="2" width="12" customWidth="1"/>
    <col min="3" max="4" width="9.7109375" hidden="1" customWidth="1"/>
    <col min="5" max="5" width="11.28515625" style="6" customWidth="1"/>
    <col min="6" max="6" width="11.28515625" style="12" hidden="1" customWidth="1"/>
    <col min="7" max="7" width="0.42578125" style="10" hidden="1" customWidth="1"/>
    <col min="9" max="9" width="11.7109375" customWidth="1"/>
    <col min="10" max="10" width="12.140625" customWidth="1"/>
    <col min="11" max="11" width="9.140625" customWidth="1"/>
    <col min="12" max="12" width="8.85546875" customWidth="1"/>
    <col min="13" max="13" width="7.85546875" customWidth="1"/>
    <col min="16" max="16" width="13.28515625" customWidth="1"/>
    <col min="17" max="17" width="22.85546875" customWidth="1"/>
    <col min="19" max="19" width="19.140625" customWidth="1"/>
    <col min="20" max="20" width="22.140625" customWidth="1"/>
  </cols>
  <sheetData>
    <row r="1" spans="1:25">
      <c r="A1" s="3" t="s">
        <v>0</v>
      </c>
      <c r="B1" s="9" t="s">
        <v>4</v>
      </c>
      <c r="E1" s="9" t="s">
        <v>3</v>
      </c>
      <c r="G1" s="21"/>
      <c r="H1" s="15" t="s">
        <v>2</v>
      </c>
      <c r="I1" s="13"/>
      <c r="J1" s="13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spans="1:25">
      <c r="A2" s="4" t="s">
        <v>28</v>
      </c>
      <c r="B2" s="109"/>
      <c r="D2" s="1" t="s">
        <v>28</v>
      </c>
      <c r="E2" s="110"/>
      <c r="G2" s="6"/>
      <c r="H2" s="9" t="s">
        <v>1</v>
      </c>
      <c r="I2" s="111" t="s">
        <v>4</v>
      </c>
      <c r="J2" s="112" t="s">
        <v>3</v>
      </c>
      <c r="K2" s="2"/>
      <c r="L2" s="30"/>
      <c r="M2" s="31"/>
      <c r="N2" s="31"/>
      <c r="O2" s="31"/>
      <c r="P2" s="31"/>
      <c r="Q2" s="31"/>
      <c r="R2" s="31"/>
      <c r="S2" s="32"/>
      <c r="T2" s="2"/>
      <c r="U2" s="2"/>
      <c r="V2" s="2"/>
      <c r="W2" s="2"/>
      <c r="X2" s="2"/>
      <c r="Y2" s="2"/>
    </row>
    <row r="3" spans="1:25" ht="18.75">
      <c r="A3" s="43" t="s">
        <v>29</v>
      </c>
      <c r="B3" s="16"/>
      <c r="D3" s="1" t="s">
        <v>29</v>
      </c>
      <c r="E3" s="22"/>
      <c r="F3" s="12" t="e">
        <f>SUBSTITUTE(B3,".",",")*100/100</f>
        <v>#VALUE!</v>
      </c>
      <c r="G3" s="6" t="e">
        <f>SUBSTITUTE(E3,".",",")*100/100</f>
        <v>#VALUE!</v>
      </c>
      <c r="H3" s="18">
        <v>-360</v>
      </c>
      <c r="I3" s="24"/>
      <c r="J3" s="27"/>
      <c r="K3" s="2"/>
      <c r="L3" s="5"/>
      <c r="M3" s="113"/>
      <c r="N3" s="113"/>
      <c r="O3" s="113"/>
      <c r="P3" s="113"/>
      <c r="Q3" s="113"/>
      <c r="R3" s="113"/>
      <c r="S3" s="114"/>
      <c r="T3" s="8"/>
      <c r="U3" s="8"/>
      <c r="V3" s="2"/>
      <c r="W3" s="2"/>
      <c r="X3" s="2"/>
      <c r="Y3" s="2"/>
    </row>
    <row r="4" spans="1:25">
      <c r="A4" s="43" t="s">
        <v>30</v>
      </c>
      <c r="B4" s="16"/>
      <c r="D4" s="1" t="s">
        <v>30</v>
      </c>
      <c r="E4" s="22"/>
      <c r="F4" s="12" t="e">
        <f t="shared" ref="F4:F67" si="0">SUBSTITUTE(B4,".",",")*100/100</f>
        <v>#VALUE!</v>
      </c>
      <c r="G4" s="6" t="e">
        <f t="shared" ref="G4:G67" si="1">SUBSTITUTE(E4,".",",")*100/100</f>
        <v>#VALUE!</v>
      </c>
      <c r="H4" s="19">
        <f>H3+1</f>
        <v>-359</v>
      </c>
      <c r="I4" s="25"/>
      <c r="J4" s="22"/>
      <c r="K4" s="2"/>
      <c r="L4" s="33"/>
      <c r="M4" s="29"/>
      <c r="N4" s="29"/>
      <c r="O4" s="29"/>
      <c r="P4" s="29"/>
      <c r="Q4" s="29"/>
      <c r="R4" s="29"/>
      <c r="S4" s="34"/>
      <c r="T4" s="2"/>
      <c r="U4" s="2"/>
      <c r="V4" s="2"/>
      <c r="W4" s="2"/>
      <c r="X4" s="2"/>
      <c r="Y4" s="2"/>
    </row>
    <row r="5" spans="1:25" ht="18.75">
      <c r="A5" s="43" t="s">
        <v>31</v>
      </c>
      <c r="B5" s="16"/>
      <c r="D5" s="1" t="s">
        <v>31</v>
      </c>
      <c r="E5" s="22"/>
      <c r="F5" s="12" t="e">
        <f t="shared" si="0"/>
        <v>#VALUE!</v>
      </c>
      <c r="G5" s="6" t="e">
        <f t="shared" si="1"/>
        <v>#VALUE!</v>
      </c>
      <c r="H5" s="19">
        <f t="shared" ref="H5:H68" si="2">H4+1</f>
        <v>-358</v>
      </c>
      <c r="I5" s="25"/>
      <c r="J5" s="22"/>
      <c r="K5" s="2"/>
      <c r="L5" s="122"/>
      <c r="M5" s="123"/>
      <c r="N5" s="123"/>
      <c r="O5" s="123"/>
      <c r="P5" s="123"/>
      <c r="Q5" s="123"/>
      <c r="R5" s="123"/>
      <c r="S5" s="124"/>
      <c r="T5" s="8"/>
      <c r="U5" s="8"/>
      <c r="V5" s="2"/>
      <c r="W5" s="2"/>
      <c r="X5" s="2"/>
      <c r="Y5" s="2"/>
    </row>
    <row r="6" spans="1:25">
      <c r="A6" s="43" t="s">
        <v>32</v>
      </c>
      <c r="B6" s="16"/>
      <c r="D6" s="1" t="s">
        <v>32</v>
      </c>
      <c r="E6" s="22"/>
      <c r="F6" s="12" t="e">
        <f t="shared" si="0"/>
        <v>#VALUE!</v>
      </c>
      <c r="G6" s="6" t="e">
        <f t="shared" si="1"/>
        <v>#VALUE!</v>
      </c>
      <c r="H6" s="19">
        <f t="shared" si="2"/>
        <v>-357</v>
      </c>
      <c r="I6" s="25"/>
      <c r="J6" s="22"/>
      <c r="K6" s="2"/>
      <c r="L6" s="33"/>
      <c r="M6" s="29"/>
      <c r="N6" s="29"/>
      <c r="O6" s="29"/>
      <c r="P6" s="29"/>
      <c r="Q6" s="29"/>
      <c r="R6" s="29"/>
      <c r="S6" s="34"/>
      <c r="T6" s="2"/>
      <c r="U6" s="2"/>
      <c r="V6" s="2"/>
      <c r="W6" s="2"/>
      <c r="X6" s="2"/>
      <c r="Y6" s="2"/>
    </row>
    <row r="7" spans="1:25">
      <c r="A7" s="43" t="s">
        <v>33</v>
      </c>
      <c r="B7" s="16"/>
      <c r="D7" s="1" t="s">
        <v>33</v>
      </c>
      <c r="E7" s="22"/>
      <c r="F7" s="12" t="e">
        <f t="shared" si="0"/>
        <v>#VALUE!</v>
      </c>
      <c r="G7" s="6" t="e">
        <f t="shared" si="1"/>
        <v>#VALUE!</v>
      </c>
      <c r="H7" s="19">
        <f t="shared" si="2"/>
        <v>-356</v>
      </c>
      <c r="I7" s="25"/>
      <c r="J7" s="22"/>
      <c r="K7" s="2"/>
      <c r="L7" s="33"/>
      <c r="M7" s="29"/>
      <c r="N7" s="29"/>
      <c r="O7" s="29"/>
      <c r="P7" s="29"/>
      <c r="Q7" s="29"/>
      <c r="R7" s="29"/>
      <c r="S7" s="34"/>
      <c r="T7" s="2"/>
      <c r="U7" s="2"/>
      <c r="V7" s="2"/>
      <c r="W7" s="2"/>
      <c r="X7" s="2"/>
      <c r="Y7" s="2"/>
    </row>
    <row r="8" spans="1:25" ht="21">
      <c r="A8" s="43" t="s">
        <v>34</v>
      </c>
      <c r="B8" s="16"/>
      <c r="D8" s="1" t="s">
        <v>34</v>
      </c>
      <c r="E8" s="22"/>
      <c r="F8" s="12" t="e">
        <f t="shared" si="0"/>
        <v>#VALUE!</v>
      </c>
      <c r="G8" s="6" t="e">
        <f t="shared" si="1"/>
        <v>#VALUE!</v>
      </c>
      <c r="H8" s="19">
        <f t="shared" si="2"/>
        <v>-355</v>
      </c>
      <c r="I8" s="25"/>
      <c r="J8" s="22"/>
      <c r="K8" s="2"/>
      <c r="L8" s="33"/>
      <c r="M8" s="29"/>
      <c r="N8" s="86">
        <v>100</v>
      </c>
      <c r="O8" s="85"/>
      <c r="P8" s="135" t="s">
        <v>397</v>
      </c>
      <c r="Q8" s="136"/>
      <c r="R8" s="87">
        <v>100</v>
      </c>
      <c r="S8" s="34"/>
      <c r="T8" s="2"/>
      <c r="U8" s="2"/>
      <c r="V8" s="2"/>
      <c r="W8" s="2"/>
      <c r="X8" s="2"/>
      <c r="Y8" s="2"/>
    </row>
    <row r="9" spans="1:25">
      <c r="A9" s="43" t="s">
        <v>35</v>
      </c>
      <c r="B9" s="16"/>
      <c r="D9" s="1" t="s">
        <v>35</v>
      </c>
      <c r="E9" s="22"/>
      <c r="F9" s="12" t="e">
        <f t="shared" si="0"/>
        <v>#VALUE!</v>
      </c>
      <c r="G9" s="6" t="e">
        <f t="shared" si="1"/>
        <v>#VALUE!</v>
      </c>
      <c r="H9" s="19">
        <f t="shared" si="2"/>
        <v>-354</v>
      </c>
      <c r="I9" s="25"/>
      <c r="J9" s="22"/>
      <c r="K9" s="2"/>
      <c r="L9" s="33"/>
      <c r="M9" s="29"/>
      <c r="N9" s="29"/>
      <c r="O9" s="29"/>
      <c r="P9" s="46"/>
      <c r="Q9" s="45"/>
      <c r="R9" s="29"/>
      <c r="S9" s="34"/>
      <c r="T9" s="8"/>
      <c r="U9" s="8"/>
      <c r="V9" s="2"/>
      <c r="W9" s="2"/>
      <c r="X9" s="2"/>
      <c r="Y9" s="2"/>
    </row>
    <row r="10" spans="1:25">
      <c r="A10" s="43" t="s">
        <v>36</v>
      </c>
      <c r="B10" s="16"/>
      <c r="D10" s="1" t="s">
        <v>36</v>
      </c>
      <c r="E10" s="22"/>
      <c r="F10" s="12" t="e">
        <f t="shared" si="0"/>
        <v>#VALUE!</v>
      </c>
      <c r="G10" s="6" t="e">
        <f t="shared" si="1"/>
        <v>#VALUE!</v>
      </c>
      <c r="H10" s="19">
        <f t="shared" si="2"/>
        <v>-353</v>
      </c>
      <c r="I10" s="28"/>
      <c r="J10" s="22"/>
      <c r="K10" s="2"/>
      <c r="L10" s="33"/>
      <c r="M10" s="29"/>
      <c r="N10" s="29"/>
      <c r="O10" s="29"/>
      <c r="P10" s="88"/>
      <c r="Q10" s="29"/>
      <c r="R10" s="29"/>
      <c r="S10" s="34"/>
      <c r="T10" s="8"/>
      <c r="U10" s="11"/>
      <c r="V10" s="8"/>
      <c r="W10" s="2"/>
      <c r="X10" s="2"/>
      <c r="Y10" s="2"/>
    </row>
    <row r="11" spans="1:25">
      <c r="A11" s="43" t="s">
        <v>37</v>
      </c>
      <c r="B11" s="16"/>
      <c r="D11" s="1" t="s">
        <v>37</v>
      </c>
      <c r="E11" s="22"/>
      <c r="F11" s="12" t="e">
        <f t="shared" si="0"/>
        <v>#VALUE!</v>
      </c>
      <c r="G11" s="6" t="e">
        <f t="shared" si="1"/>
        <v>#VALUE!</v>
      </c>
      <c r="H11" s="19">
        <f t="shared" si="2"/>
        <v>-352</v>
      </c>
      <c r="I11" s="25"/>
      <c r="J11" s="22"/>
      <c r="K11" s="2"/>
      <c r="L11" s="33"/>
      <c r="M11" s="29"/>
      <c r="N11" s="29"/>
      <c r="O11" s="29"/>
      <c r="P11" s="29"/>
      <c r="Q11" s="29"/>
      <c r="R11" s="29"/>
      <c r="S11" s="34"/>
      <c r="T11" s="41"/>
      <c r="U11" s="11"/>
      <c r="V11" s="8"/>
      <c r="W11" s="2"/>
      <c r="X11" s="2"/>
      <c r="Y11" s="2"/>
    </row>
    <row r="12" spans="1:25">
      <c r="A12" s="43" t="s">
        <v>38</v>
      </c>
      <c r="B12" s="16"/>
      <c r="D12" s="1" t="s">
        <v>38</v>
      </c>
      <c r="E12" s="22"/>
      <c r="F12" s="12" t="e">
        <f t="shared" si="0"/>
        <v>#VALUE!</v>
      </c>
      <c r="G12" s="6" t="e">
        <f t="shared" si="1"/>
        <v>#VALUE!</v>
      </c>
      <c r="H12" s="19">
        <f t="shared" si="2"/>
        <v>-351</v>
      </c>
      <c r="I12" s="25"/>
      <c r="J12" s="22"/>
      <c r="K12" s="2"/>
      <c r="L12" s="141" t="s">
        <v>401</v>
      </c>
      <c r="M12" s="141"/>
      <c r="N12" s="130">
        <v>0.5</v>
      </c>
      <c r="O12" s="29"/>
      <c r="P12" s="29"/>
      <c r="Q12" s="29"/>
      <c r="R12" s="131">
        <v>0.5</v>
      </c>
      <c r="S12" s="56" t="s">
        <v>402</v>
      </c>
      <c r="T12" s="8"/>
      <c r="U12" s="38"/>
      <c r="V12" s="8"/>
      <c r="W12" s="2"/>
      <c r="X12" s="2"/>
      <c r="Y12" s="2"/>
    </row>
    <row r="13" spans="1:25">
      <c r="A13" s="43" t="s">
        <v>39</v>
      </c>
      <c r="B13" s="16"/>
      <c r="D13" s="1" t="s">
        <v>39</v>
      </c>
      <c r="E13" s="22"/>
      <c r="F13" s="12" t="e">
        <f t="shared" si="0"/>
        <v>#VALUE!</v>
      </c>
      <c r="G13" s="6" t="e">
        <f t="shared" si="1"/>
        <v>#VALUE!</v>
      </c>
      <c r="H13" s="19">
        <f t="shared" si="2"/>
        <v>-350</v>
      </c>
      <c r="I13" s="25"/>
      <c r="J13" s="22"/>
      <c r="K13" s="2"/>
      <c r="L13" s="35"/>
      <c r="M13" s="36"/>
      <c r="N13" s="36"/>
      <c r="O13" s="36"/>
      <c r="P13" s="36"/>
      <c r="Q13" s="36"/>
      <c r="R13" s="36"/>
      <c r="S13" s="37"/>
      <c r="T13" s="8"/>
      <c r="U13" s="38"/>
      <c r="V13" s="8"/>
      <c r="W13" s="2"/>
      <c r="X13" s="2"/>
      <c r="Y13" s="2"/>
    </row>
    <row r="14" spans="1:25">
      <c r="A14" s="43" t="s">
        <v>40</v>
      </c>
      <c r="B14" s="16"/>
      <c r="D14" s="1" t="s">
        <v>40</v>
      </c>
      <c r="E14" s="22"/>
      <c r="F14" s="12" t="e">
        <f t="shared" si="0"/>
        <v>#VALUE!</v>
      </c>
      <c r="G14" s="6" t="e">
        <f t="shared" si="1"/>
        <v>#VALUE!</v>
      </c>
      <c r="H14" s="19">
        <f t="shared" si="2"/>
        <v>-349</v>
      </c>
      <c r="I14" s="25"/>
      <c r="J14" s="22"/>
      <c r="K14" s="2"/>
      <c r="L14" s="2"/>
      <c r="M14" s="2"/>
      <c r="N14" s="2"/>
      <c r="O14" s="2"/>
      <c r="P14" s="2"/>
      <c r="Q14" s="2"/>
      <c r="R14" s="2"/>
      <c r="S14" s="8"/>
      <c r="T14" s="8"/>
      <c r="U14" s="38"/>
      <c r="V14" s="8"/>
      <c r="W14" s="2"/>
      <c r="X14" s="2"/>
      <c r="Y14" s="2"/>
    </row>
    <row r="15" spans="1:25">
      <c r="A15" s="43" t="s">
        <v>41</v>
      </c>
      <c r="B15" s="16"/>
      <c r="D15" s="1" t="s">
        <v>41</v>
      </c>
      <c r="E15" s="22"/>
      <c r="F15" s="12" t="e">
        <f t="shared" si="0"/>
        <v>#VALUE!</v>
      </c>
      <c r="G15" s="6" t="e">
        <f t="shared" si="1"/>
        <v>#VALUE!</v>
      </c>
      <c r="H15" s="19">
        <f t="shared" si="2"/>
        <v>-348</v>
      </c>
      <c r="I15" s="25"/>
      <c r="J15" s="22"/>
      <c r="K15" s="2"/>
      <c r="S15" s="7"/>
      <c r="T15" s="8"/>
      <c r="U15" s="38"/>
      <c r="V15" s="8"/>
      <c r="W15" s="2"/>
      <c r="X15" s="2"/>
      <c r="Y15" s="2"/>
    </row>
    <row r="16" spans="1:25">
      <c r="A16" s="43" t="s">
        <v>42</v>
      </c>
      <c r="B16" s="16"/>
      <c r="D16" s="1" t="s">
        <v>42</v>
      </c>
      <c r="E16" s="22"/>
      <c r="F16" s="12" t="e">
        <f t="shared" si="0"/>
        <v>#VALUE!</v>
      </c>
      <c r="G16" s="6" t="e">
        <f t="shared" si="1"/>
        <v>#VALUE!</v>
      </c>
      <c r="H16" s="19">
        <f t="shared" si="2"/>
        <v>-347</v>
      </c>
      <c r="I16" s="25"/>
      <c r="J16" s="22"/>
      <c r="K16" s="2"/>
      <c r="S16" s="7"/>
      <c r="T16" s="41"/>
      <c r="U16" s="11"/>
      <c r="V16" s="8"/>
      <c r="W16" s="2"/>
      <c r="X16" s="2"/>
      <c r="Y16" s="2"/>
    </row>
    <row r="17" spans="1:25">
      <c r="A17" s="43" t="s">
        <v>43</v>
      </c>
      <c r="B17" s="16"/>
      <c r="D17" s="1" t="s">
        <v>43</v>
      </c>
      <c r="E17" s="22"/>
      <c r="F17" s="12" t="e">
        <f t="shared" si="0"/>
        <v>#VALUE!</v>
      </c>
      <c r="G17" s="6" t="e">
        <f t="shared" si="1"/>
        <v>#VALUE!</v>
      </c>
      <c r="H17" s="19">
        <f t="shared" si="2"/>
        <v>-346</v>
      </c>
      <c r="I17" s="25"/>
      <c r="J17" s="22"/>
      <c r="K17" s="2"/>
      <c r="S17" s="7"/>
      <c r="T17" s="8"/>
      <c r="U17" s="11"/>
      <c r="V17" s="8"/>
      <c r="W17" s="2"/>
      <c r="X17" s="2"/>
      <c r="Y17" s="2"/>
    </row>
    <row r="18" spans="1:25">
      <c r="A18" s="43" t="s">
        <v>44</v>
      </c>
      <c r="B18" s="16"/>
      <c r="D18" s="1" t="s">
        <v>44</v>
      </c>
      <c r="E18" s="22"/>
      <c r="F18" s="12" t="e">
        <f t="shared" si="0"/>
        <v>#VALUE!</v>
      </c>
      <c r="G18" s="6" t="e">
        <f t="shared" si="1"/>
        <v>#VALUE!</v>
      </c>
      <c r="H18" s="19">
        <f t="shared" si="2"/>
        <v>-345</v>
      </c>
      <c r="I18" s="25"/>
      <c r="J18" s="22"/>
      <c r="K18" s="2"/>
      <c r="S18" s="7"/>
      <c r="T18" s="8"/>
      <c r="U18" s="11"/>
      <c r="V18" s="8"/>
      <c r="W18" s="2"/>
      <c r="X18" s="2"/>
      <c r="Y18" s="2"/>
    </row>
    <row r="19" spans="1:25">
      <c r="A19" s="43" t="s">
        <v>45</v>
      </c>
      <c r="B19" s="16"/>
      <c r="D19" s="1" t="s">
        <v>45</v>
      </c>
      <c r="E19" s="22"/>
      <c r="F19" s="12" t="e">
        <f t="shared" si="0"/>
        <v>#VALUE!</v>
      </c>
      <c r="G19" s="6" t="e">
        <f t="shared" si="1"/>
        <v>#VALUE!</v>
      </c>
      <c r="H19" s="19">
        <f t="shared" si="2"/>
        <v>-344</v>
      </c>
      <c r="I19" s="25"/>
      <c r="J19" s="22"/>
      <c r="K19" s="2"/>
      <c r="S19" s="7"/>
      <c r="T19" s="42"/>
      <c r="U19" s="11"/>
      <c r="V19" s="8"/>
      <c r="W19" s="2"/>
      <c r="X19" s="2"/>
      <c r="Y19" s="2"/>
    </row>
    <row r="20" spans="1:25">
      <c r="A20" s="43" t="s">
        <v>46</v>
      </c>
      <c r="B20" s="16"/>
      <c r="D20" s="1" t="s">
        <v>46</v>
      </c>
      <c r="E20" s="22"/>
      <c r="F20" s="12" t="e">
        <f t="shared" si="0"/>
        <v>#VALUE!</v>
      </c>
      <c r="G20" s="6" t="e">
        <f t="shared" si="1"/>
        <v>#VALUE!</v>
      </c>
      <c r="H20" s="19">
        <f t="shared" si="2"/>
        <v>-343</v>
      </c>
      <c r="I20" s="25"/>
      <c r="J20" s="22"/>
      <c r="K20" s="2"/>
      <c r="S20" s="7"/>
      <c r="T20" s="42"/>
      <c r="U20" s="11"/>
      <c r="V20" s="8"/>
      <c r="W20" s="2"/>
      <c r="X20" s="2"/>
      <c r="Y20" s="2"/>
    </row>
    <row r="21" spans="1:25">
      <c r="A21" s="43" t="s">
        <v>47</v>
      </c>
      <c r="B21" s="16"/>
      <c r="D21" s="1" t="s">
        <v>47</v>
      </c>
      <c r="E21" s="22"/>
      <c r="F21" s="12" t="e">
        <f t="shared" si="0"/>
        <v>#VALUE!</v>
      </c>
      <c r="G21" s="6" t="e">
        <f t="shared" si="1"/>
        <v>#VALUE!</v>
      </c>
      <c r="H21" s="19">
        <f t="shared" si="2"/>
        <v>-342</v>
      </c>
      <c r="I21" s="25"/>
      <c r="J21" s="22"/>
      <c r="K21" s="2"/>
      <c r="S21" s="7"/>
      <c r="T21" s="8"/>
      <c r="U21" s="11"/>
      <c r="V21" s="8"/>
      <c r="W21" s="2"/>
      <c r="X21" s="2"/>
      <c r="Y21" s="2"/>
    </row>
    <row r="22" spans="1:25">
      <c r="A22" s="43" t="s">
        <v>48</v>
      </c>
      <c r="B22" s="16"/>
      <c r="D22" s="1" t="s">
        <v>48</v>
      </c>
      <c r="E22" s="22"/>
      <c r="F22" s="12" t="e">
        <f t="shared" si="0"/>
        <v>#VALUE!</v>
      </c>
      <c r="G22" s="6" t="e">
        <f t="shared" si="1"/>
        <v>#VALUE!</v>
      </c>
      <c r="H22" s="19">
        <f t="shared" si="2"/>
        <v>-341</v>
      </c>
      <c r="I22" s="25"/>
      <c r="J22" s="22"/>
      <c r="K22" s="2"/>
      <c r="S22" s="7"/>
      <c r="T22" s="8"/>
      <c r="U22" s="11"/>
      <c r="V22" s="8"/>
      <c r="W22" s="2"/>
      <c r="X22" s="2"/>
      <c r="Y22" s="2"/>
    </row>
    <row r="23" spans="1:25">
      <c r="A23" s="43" t="s">
        <v>49</v>
      </c>
      <c r="B23" s="16"/>
      <c r="D23" s="1" t="s">
        <v>49</v>
      </c>
      <c r="E23" s="22"/>
      <c r="F23" s="12" t="e">
        <f t="shared" si="0"/>
        <v>#VALUE!</v>
      </c>
      <c r="G23" s="6" t="e">
        <f t="shared" si="1"/>
        <v>#VALUE!</v>
      </c>
      <c r="H23" s="19">
        <f t="shared" si="2"/>
        <v>-340</v>
      </c>
      <c r="I23" s="25"/>
      <c r="J23" s="22"/>
      <c r="K23" s="2"/>
      <c r="S23" s="7"/>
      <c r="T23" s="8"/>
      <c r="U23" s="11"/>
      <c r="V23" s="8"/>
      <c r="W23" s="2"/>
      <c r="X23" s="2"/>
      <c r="Y23" s="2"/>
    </row>
    <row r="24" spans="1:25">
      <c r="A24" s="43" t="s">
        <v>50</v>
      </c>
      <c r="B24" s="16"/>
      <c r="D24" s="1" t="s">
        <v>50</v>
      </c>
      <c r="E24" s="22"/>
      <c r="F24" s="12" t="e">
        <f t="shared" si="0"/>
        <v>#VALUE!</v>
      </c>
      <c r="G24" s="6" t="e">
        <f t="shared" si="1"/>
        <v>#VALUE!</v>
      </c>
      <c r="H24" s="19">
        <f t="shared" si="2"/>
        <v>-339</v>
      </c>
      <c r="I24" s="25"/>
      <c r="J24" s="22"/>
      <c r="K24" s="2"/>
      <c r="S24" s="7"/>
      <c r="T24" s="8"/>
      <c r="U24" s="11"/>
      <c r="V24" s="8"/>
      <c r="W24" s="2"/>
      <c r="X24" s="2"/>
      <c r="Y24" s="2"/>
    </row>
    <row r="25" spans="1:25">
      <c r="A25" s="43" t="s">
        <v>51</v>
      </c>
      <c r="B25" s="16"/>
      <c r="D25" s="1" t="s">
        <v>51</v>
      </c>
      <c r="E25" s="22"/>
      <c r="F25" s="12" t="e">
        <f t="shared" si="0"/>
        <v>#VALUE!</v>
      </c>
      <c r="G25" s="6" t="e">
        <f t="shared" si="1"/>
        <v>#VALUE!</v>
      </c>
      <c r="H25" s="19">
        <f t="shared" si="2"/>
        <v>-338</v>
      </c>
      <c r="I25" s="25"/>
      <c r="J25" s="22"/>
      <c r="K25" s="2"/>
      <c r="S25" s="7"/>
      <c r="T25" s="41"/>
      <c r="U25" s="11"/>
      <c r="V25" s="8"/>
      <c r="W25" s="2"/>
      <c r="X25" s="2"/>
      <c r="Y25" s="2"/>
    </row>
    <row r="26" spans="1:25">
      <c r="A26" s="43" t="s">
        <v>52</v>
      </c>
      <c r="B26" s="16"/>
      <c r="D26" s="1" t="s">
        <v>52</v>
      </c>
      <c r="E26" s="22"/>
      <c r="F26" s="12" t="e">
        <f t="shared" si="0"/>
        <v>#VALUE!</v>
      </c>
      <c r="G26" s="6" t="e">
        <f t="shared" si="1"/>
        <v>#VALUE!</v>
      </c>
      <c r="H26" s="19">
        <f t="shared" si="2"/>
        <v>-337</v>
      </c>
      <c r="I26" s="25"/>
      <c r="J26" s="22"/>
      <c r="K26" s="2"/>
      <c r="L26" s="2"/>
      <c r="M26" s="2"/>
      <c r="N26" s="2"/>
      <c r="O26" s="2"/>
      <c r="P26" s="2"/>
      <c r="Q26" s="2"/>
      <c r="R26" s="2"/>
      <c r="S26" s="8"/>
      <c r="T26" s="8"/>
      <c r="U26" s="38"/>
      <c r="V26" s="8" t="s">
        <v>5</v>
      </c>
      <c r="W26" s="2"/>
      <c r="X26" s="2"/>
      <c r="Y26" s="2"/>
    </row>
    <row r="27" spans="1:25">
      <c r="A27" s="43" t="s">
        <v>53</v>
      </c>
      <c r="B27" s="16"/>
      <c r="D27" s="1" t="s">
        <v>53</v>
      </c>
      <c r="E27" s="22"/>
      <c r="F27" s="12" t="e">
        <f t="shared" si="0"/>
        <v>#VALUE!</v>
      </c>
      <c r="G27" s="6" t="e">
        <f t="shared" si="1"/>
        <v>#VALUE!</v>
      </c>
      <c r="H27" s="19">
        <f t="shared" si="2"/>
        <v>-336</v>
      </c>
      <c r="I27" s="25"/>
      <c r="J27" s="22"/>
      <c r="K27" s="2"/>
      <c r="L27" s="40"/>
      <c r="M27" s="115"/>
      <c r="N27" s="116"/>
      <c r="O27" s="117"/>
      <c r="Q27" s="118"/>
      <c r="R27" s="119"/>
      <c r="S27" s="39"/>
      <c r="T27" s="8"/>
      <c r="U27" s="38"/>
      <c r="V27" s="8"/>
      <c r="W27" s="2"/>
      <c r="X27" s="2"/>
      <c r="Y27" s="2"/>
    </row>
    <row r="28" spans="1:25">
      <c r="A28" s="43" t="s">
        <v>54</v>
      </c>
      <c r="B28" s="16"/>
      <c r="D28" s="1" t="s">
        <v>54</v>
      </c>
      <c r="E28" s="22"/>
      <c r="F28" s="12" t="e">
        <f t="shared" si="0"/>
        <v>#VALUE!</v>
      </c>
      <c r="G28" s="6" t="e">
        <f t="shared" si="1"/>
        <v>#VALUE!</v>
      </c>
      <c r="H28" s="19">
        <f t="shared" si="2"/>
        <v>-335</v>
      </c>
      <c r="I28" s="25"/>
      <c r="J28" s="22"/>
      <c r="K28" s="2"/>
      <c r="L28" s="2"/>
      <c r="M28" s="2"/>
      <c r="N28" s="2"/>
      <c r="O28" s="2"/>
      <c r="P28" s="2"/>
      <c r="Q28" s="2"/>
      <c r="R28" s="2"/>
      <c r="S28" s="8"/>
      <c r="T28" s="42"/>
      <c r="U28" s="38"/>
      <c r="V28" s="8"/>
      <c r="W28" s="2" t="s">
        <v>5</v>
      </c>
      <c r="X28" s="2"/>
      <c r="Y28" s="2"/>
    </row>
    <row r="29" spans="1:25">
      <c r="A29" s="43" t="s">
        <v>55</v>
      </c>
      <c r="B29" s="16"/>
      <c r="D29" s="1" t="s">
        <v>55</v>
      </c>
      <c r="E29" s="22"/>
      <c r="F29" s="12" t="e">
        <f t="shared" si="0"/>
        <v>#VALUE!</v>
      </c>
      <c r="G29" s="6" t="e">
        <f t="shared" si="1"/>
        <v>#VALUE!</v>
      </c>
      <c r="H29" s="19">
        <f t="shared" si="2"/>
        <v>-334</v>
      </c>
      <c r="I29" s="25"/>
      <c r="J29" s="22"/>
      <c r="K29" s="2"/>
      <c r="L29" s="2"/>
      <c r="M29" s="2"/>
      <c r="N29" s="2"/>
      <c r="O29" s="2"/>
      <c r="P29" s="2"/>
      <c r="Q29" s="2"/>
      <c r="R29" s="2"/>
      <c r="S29" s="8"/>
      <c r="T29" s="42"/>
      <c r="U29" s="38"/>
      <c r="V29" s="8"/>
      <c r="W29" s="2"/>
      <c r="X29" s="2"/>
      <c r="Y29" s="2"/>
    </row>
    <row r="30" spans="1:25">
      <c r="A30" s="43" t="s">
        <v>56</v>
      </c>
      <c r="B30" s="16"/>
      <c r="D30" s="1" t="s">
        <v>56</v>
      </c>
      <c r="E30" s="22"/>
      <c r="F30" s="12" t="e">
        <f t="shared" si="0"/>
        <v>#VALUE!</v>
      </c>
      <c r="G30" s="6" t="e">
        <f t="shared" si="1"/>
        <v>#VALUE!</v>
      </c>
      <c r="H30" s="19">
        <f t="shared" si="2"/>
        <v>-333</v>
      </c>
      <c r="I30" s="25"/>
      <c r="J30" s="22"/>
      <c r="K30" s="2"/>
      <c r="S30" s="7"/>
      <c r="T30" s="41"/>
      <c r="U30" s="11"/>
      <c r="V30" s="8"/>
      <c r="W30" s="2"/>
      <c r="X30" s="2"/>
      <c r="Y30" s="2"/>
    </row>
    <row r="31" spans="1:25">
      <c r="A31" s="43" t="s">
        <v>57</v>
      </c>
      <c r="B31" s="16"/>
      <c r="D31" s="1" t="s">
        <v>57</v>
      </c>
      <c r="E31" s="22"/>
      <c r="F31" s="12" t="e">
        <f t="shared" si="0"/>
        <v>#VALUE!</v>
      </c>
      <c r="G31" s="6" t="e">
        <f t="shared" si="1"/>
        <v>#VALUE!</v>
      </c>
      <c r="H31" s="19">
        <f t="shared" si="2"/>
        <v>-332</v>
      </c>
      <c r="I31" s="25"/>
      <c r="J31" s="22"/>
      <c r="K31" s="2"/>
      <c r="S31" s="7"/>
      <c r="T31" s="8"/>
      <c r="U31" s="11"/>
      <c r="V31" s="8"/>
      <c r="W31" s="2"/>
      <c r="X31" s="2"/>
      <c r="Y31" s="2"/>
    </row>
    <row r="32" spans="1:25">
      <c r="A32" s="43" t="s">
        <v>58</v>
      </c>
      <c r="B32" s="16"/>
      <c r="D32" s="1" t="s">
        <v>58</v>
      </c>
      <c r="E32" s="22"/>
      <c r="F32" s="12" t="e">
        <f t="shared" si="0"/>
        <v>#VALUE!</v>
      </c>
      <c r="G32" s="6" t="e">
        <f t="shared" si="1"/>
        <v>#VALUE!</v>
      </c>
      <c r="H32" s="19">
        <f t="shared" si="2"/>
        <v>-331</v>
      </c>
      <c r="I32" s="25"/>
      <c r="J32" s="22"/>
      <c r="K32" s="2"/>
      <c r="S32" s="7"/>
      <c r="T32" s="8"/>
      <c r="U32" s="11"/>
      <c r="V32" s="8"/>
      <c r="W32" s="2"/>
      <c r="X32" s="2"/>
      <c r="Y32" s="2"/>
    </row>
    <row r="33" spans="1:25">
      <c r="A33" s="43" t="s">
        <v>59</v>
      </c>
      <c r="B33" s="16"/>
      <c r="D33" s="1" t="s">
        <v>59</v>
      </c>
      <c r="E33" s="22"/>
      <c r="F33" s="12" t="e">
        <f t="shared" si="0"/>
        <v>#VALUE!</v>
      </c>
      <c r="G33" s="6" t="e">
        <f t="shared" si="1"/>
        <v>#VALUE!</v>
      </c>
      <c r="H33" s="19">
        <f t="shared" si="2"/>
        <v>-330</v>
      </c>
      <c r="I33" s="25"/>
      <c r="J33" s="22"/>
      <c r="K33" s="2"/>
      <c r="S33" s="7"/>
      <c r="T33" s="8"/>
      <c r="U33" s="11"/>
      <c r="V33" s="8"/>
      <c r="W33" s="2"/>
      <c r="X33" s="2"/>
      <c r="Y33" s="2"/>
    </row>
    <row r="34" spans="1:25">
      <c r="A34" s="43" t="s">
        <v>60</v>
      </c>
      <c r="B34" s="16"/>
      <c r="D34" s="1" t="s">
        <v>60</v>
      </c>
      <c r="E34" s="22"/>
      <c r="F34" s="12" t="e">
        <f t="shared" si="0"/>
        <v>#VALUE!</v>
      </c>
      <c r="G34" s="6" t="e">
        <f t="shared" si="1"/>
        <v>#VALUE!</v>
      </c>
      <c r="H34" s="19">
        <f t="shared" si="2"/>
        <v>-329</v>
      </c>
      <c r="I34" s="25"/>
      <c r="J34" s="22"/>
      <c r="K34" s="2"/>
      <c r="S34" s="7"/>
      <c r="T34" s="8"/>
      <c r="U34" s="11"/>
      <c r="V34" s="8"/>
      <c r="W34" s="2"/>
      <c r="X34" s="2"/>
      <c r="Y34" s="2"/>
    </row>
    <row r="35" spans="1:25">
      <c r="A35" s="43" t="s">
        <v>61</v>
      </c>
      <c r="B35" s="16"/>
      <c r="D35" s="1" t="s">
        <v>61</v>
      </c>
      <c r="E35" s="22"/>
      <c r="F35" s="12" t="e">
        <f t="shared" si="0"/>
        <v>#VALUE!</v>
      </c>
      <c r="G35" s="6" t="e">
        <f t="shared" si="1"/>
        <v>#VALUE!</v>
      </c>
      <c r="H35" s="19">
        <f t="shared" si="2"/>
        <v>-328</v>
      </c>
      <c r="I35" s="25"/>
      <c r="J35" s="22"/>
      <c r="K35" s="2"/>
      <c r="S35" s="7"/>
      <c r="T35" s="8"/>
      <c r="U35" s="11"/>
      <c r="V35" s="8"/>
      <c r="W35" s="2"/>
      <c r="X35" s="2"/>
      <c r="Y35" s="2"/>
    </row>
    <row r="36" spans="1:25">
      <c r="A36" s="43" t="s">
        <v>62</v>
      </c>
      <c r="B36" s="16"/>
      <c r="D36" s="1" t="s">
        <v>62</v>
      </c>
      <c r="E36" s="22"/>
      <c r="F36" s="12" t="e">
        <f t="shared" si="0"/>
        <v>#VALUE!</v>
      </c>
      <c r="G36" s="6" t="e">
        <f t="shared" si="1"/>
        <v>#VALUE!</v>
      </c>
      <c r="H36" s="19">
        <f t="shared" si="2"/>
        <v>-327</v>
      </c>
      <c r="I36" s="25"/>
      <c r="J36" s="22"/>
      <c r="K36" s="2"/>
      <c r="S36" s="7"/>
      <c r="T36" s="8"/>
      <c r="U36" s="11"/>
      <c r="V36" s="8"/>
      <c r="W36" s="2"/>
      <c r="X36" s="2"/>
      <c r="Y36" s="2"/>
    </row>
    <row r="37" spans="1:25">
      <c r="A37" s="43" t="s">
        <v>63</v>
      </c>
      <c r="B37" s="16"/>
      <c r="D37" s="1" t="s">
        <v>63</v>
      </c>
      <c r="E37" s="22"/>
      <c r="F37" s="12" t="e">
        <f t="shared" si="0"/>
        <v>#VALUE!</v>
      </c>
      <c r="G37" s="6" t="e">
        <f t="shared" si="1"/>
        <v>#VALUE!</v>
      </c>
      <c r="H37" s="19">
        <f t="shared" si="2"/>
        <v>-326</v>
      </c>
      <c r="I37" s="25"/>
      <c r="J37" s="22"/>
      <c r="K37" s="2"/>
      <c r="S37" s="7"/>
      <c r="T37" s="8"/>
      <c r="U37" s="11"/>
      <c r="V37" s="8"/>
      <c r="W37" s="2"/>
      <c r="X37" s="2"/>
      <c r="Y37" s="2"/>
    </row>
    <row r="38" spans="1:25">
      <c r="A38" s="43" t="s">
        <v>64</v>
      </c>
      <c r="B38" s="16"/>
      <c r="D38" s="1" t="s">
        <v>64</v>
      </c>
      <c r="E38" s="22"/>
      <c r="F38" s="12" t="e">
        <f t="shared" si="0"/>
        <v>#VALUE!</v>
      </c>
      <c r="G38" s="6" t="e">
        <f t="shared" si="1"/>
        <v>#VALUE!</v>
      </c>
      <c r="H38" s="19">
        <f t="shared" si="2"/>
        <v>-325</v>
      </c>
      <c r="I38" s="25"/>
      <c r="J38" s="22"/>
      <c r="K38" s="2"/>
      <c r="S38" s="7"/>
      <c r="T38" s="8"/>
      <c r="U38" s="11"/>
      <c r="V38" s="8"/>
      <c r="W38" s="2"/>
      <c r="X38" s="2"/>
      <c r="Y38" s="2"/>
    </row>
    <row r="39" spans="1:25">
      <c r="A39" s="43" t="s">
        <v>65</v>
      </c>
      <c r="B39" s="16"/>
      <c r="D39" s="1" t="s">
        <v>65</v>
      </c>
      <c r="E39" s="22"/>
      <c r="F39" s="12" t="e">
        <f t="shared" si="0"/>
        <v>#VALUE!</v>
      </c>
      <c r="G39" s="6" t="e">
        <f t="shared" si="1"/>
        <v>#VALUE!</v>
      </c>
      <c r="H39" s="19">
        <f t="shared" si="2"/>
        <v>-324</v>
      </c>
      <c r="I39" s="25"/>
      <c r="J39" s="22"/>
      <c r="K39" s="2"/>
      <c r="S39" s="7"/>
      <c r="T39" s="8"/>
      <c r="U39" s="11"/>
      <c r="V39" s="8"/>
      <c r="W39" s="2"/>
      <c r="X39" s="2"/>
      <c r="Y39" s="2"/>
    </row>
    <row r="40" spans="1:25">
      <c r="A40" s="43" t="s">
        <v>66</v>
      </c>
      <c r="B40" s="16"/>
      <c r="D40" s="1" t="s">
        <v>66</v>
      </c>
      <c r="E40" s="22"/>
      <c r="F40" s="12" t="e">
        <f t="shared" si="0"/>
        <v>#VALUE!</v>
      </c>
      <c r="G40" s="6" t="e">
        <f t="shared" si="1"/>
        <v>#VALUE!</v>
      </c>
      <c r="H40" s="19">
        <f t="shared" si="2"/>
        <v>-323</v>
      </c>
      <c r="I40" s="25"/>
      <c r="J40" s="22"/>
      <c r="K40" s="2"/>
      <c r="T40" s="2"/>
      <c r="U40" s="2"/>
      <c r="V40" s="2"/>
      <c r="W40" s="2"/>
      <c r="X40" s="2"/>
      <c r="Y40" s="2"/>
    </row>
    <row r="41" spans="1:25">
      <c r="A41" s="43" t="s">
        <v>67</v>
      </c>
      <c r="B41" s="16"/>
      <c r="D41" s="1" t="s">
        <v>67</v>
      </c>
      <c r="E41" s="22"/>
      <c r="F41" s="12" t="e">
        <f t="shared" si="0"/>
        <v>#VALUE!</v>
      </c>
      <c r="G41" s="6" t="e">
        <f t="shared" si="1"/>
        <v>#VALUE!</v>
      </c>
      <c r="H41" s="19">
        <f t="shared" si="2"/>
        <v>-322</v>
      </c>
      <c r="I41" s="25"/>
      <c r="J41" s="22"/>
      <c r="K41" s="2"/>
      <c r="T41" s="2"/>
      <c r="U41" s="2"/>
      <c r="V41" s="2"/>
      <c r="W41" s="2"/>
      <c r="X41" s="2"/>
      <c r="Y41" s="2"/>
    </row>
    <row r="42" spans="1:25">
      <c r="A42" s="43" t="s">
        <v>68</v>
      </c>
      <c r="B42" s="16"/>
      <c r="D42" s="1" t="s">
        <v>68</v>
      </c>
      <c r="E42" s="22"/>
      <c r="F42" s="12" t="e">
        <f t="shared" si="0"/>
        <v>#VALUE!</v>
      </c>
      <c r="G42" s="6" t="e">
        <f t="shared" si="1"/>
        <v>#VALUE!</v>
      </c>
      <c r="H42" s="19">
        <f t="shared" si="2"/>
        <v>-321</v>
      </c>
      <c r="I42" s="25"/>
      <c r="J42" s="22"/>
      <c r="K42" s="2"/>
      <c r="T42" s="2"/>
      <c r="U42" s="2"/>
      <c r="V42" s="2"/>
      <c r="W42" s="2"/>
      <c r="X42" s="2"/>
      <c r="Y42" s="2"/>
    </row>
    <row r="43" spans="1:25">
      <c r="A43" s="43" t="s">
        <v>69</v>
      </c>
      <c r="B43" s="16"/>
      <c r="D43" s="1" t="s">
        <v>69</v>
      </c>
      <c r="E43" s="22"/>
      <c r="F43" s="12" t="e">
        <f t="shared" si="0"/>
        <v>#VALUE!</v>
      </c>
      <c r="G43" s="6" t="e">
        <f t="shared" si="1"/>
        <v>#VALUE!</v>
      </c>
      <c r="H43" s="19">
        <f t="shared" si="2"/>
        <v>-320</v>
      </c>
      <c r="I43" s="25"/>
      <c r="J43" s="22"/>
      <c r="K43" s="2"/>
      <c r="T43" s="2"/>
      <c r="U43" s="2"/>
      <c r="V43" s="2"/>
      <c r="W43" s="2"/>
      <c r="X43" s="2"/>
      <c r="Y43" s="2"/>
    </row>
    <row r="44" spans="1:25">
      <c r="A44" s="43" t="s">
        <v>70</v>
      </c>
      <c r="B44" s="16"/>
      <c r="D44" s="1" t="s">
        <v>70</v>
      </c>
      <c r="E44" s="22"/>
      <c r="F44" s="12" t="e">
        <f t="shared" si="0"/>
        <v>#VALUE!</v>
      </c>
      <c r="G44" s="6" t="e">
        <f t="shared" si="1"/>
        <v>#VALUE!</v>
      </c>
      <c r="H44" s="19">
        <f t="shared" si="2"/>
        <v>-319</v>
      </c>
      <c r="I44" s="25"/>
      <c r="J44" s="22"/>
      <c r="K44" s="2"/>
      <c r="T44" s="2"/>
      <c r="U44" s="2"/>
      <c r="V44" s="2"/>
      <c r="W44" s="2"/>
      <c r="X44" s="2"/>
      <c r="Y44" s="2"/>
    </row>
    <row r="45" spans="1:25">
      <c r="A45" s="43" t="s">
        <v>71</v>
      </c>
      <c r="B45" s="16"/>
      <c r="D45" s="1" t="s">
        <v>71</v>
      </c>
      <c r="E45" s="22"/>
      <c r="F45" s="12" t="e">
        <f t="shared" si="0"/>
        <v>#VALUE!</v>
      </c>
      <c r="G45" s="6" t="e">
        <f t="shared" si="1"/>
        <v>#VALUE!</v>
      </c>
      <c r="H45" s="19">
        <f t="shared" si="2"/>
        <v>-318</v>
      </c>
      <c r="I45" s="25"/>
      <c r="J45" s="2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</row>
    <row r="46" spans="1:25">
      <c r="A46" s="43" t="s">
        <v>72</v>
      </c>
      <c r="B46" s="16"/>
      <c r="D46" s="1" t="s">
        <v>72</v>
      </c>
      <c r="E46" s="22"/>
      <c r="F46" s="12" t="e">
        <f t="shared" si="0"/>
        <v>#VALUE!</v>
      </c>
      <c r="G46" s="6" t="e">
        <f t="shared" si="1"/>
        <v>#VALUE!</v>
      </c>
      <c r="H46" s="19">
        <f t="shared" si="2"/>
        <v>-317</v>
      </c>
      <c r="I46" s="25"/>
      <c r="J46" s="2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</row>
    <row r="47" spans="1:25">
      <c r="A47" s="43" t="s">
        <v>73</v>
      </c>
      <c r="B47" s="16"/>
      <c r="D47" s="1" t="s">
        <v>73</v>
      </c>
      <c r="E47" s="22"/>
      <c r="F47" s="12" t="e">
        <f t="shared" si="0"/>
        <v>#VALUE!</v>
      </c>
      <c r="G47" s="6" t="e">
        <f t="shared" si="1"/>
        <v>#VALUE!</v>
      </c>
      <c r="H47" s="19">
        <f t="shared" si="2"/>
        <v>-316</v>
      </c>
      <c r="I47" s="25"/>
      <c r="J47" s="22"/>
      <c r="K47" s="61"/>
      <c r="L47" s="62"/>
      <c r="M47" s="62"/>
      <c r="N47" s="62"/>
      <c r="O47" s="62"/>
      <c r="P47" s="62"/>
      <c r="Q47" s="62"/>
      <c r="R47" s="62"/>
      <c r="S47" s="63"/>
      <c r="T47" s="2"/>
      <c r="U47" s="2"/>
      <c r="V47" s="2"/>
      <c r="W47" s="2"/>
      <c r="X47" s="2"/>
      <c r="Y47" s="2"/>
    </row>
    <row r="48" spans="1:25">
      <c r="A48" s="43" t="s">
        <v>74</v>
      </c>
      <c r="B48" s="16"/>
      <c r="D48" s="1" t="s">
        <v>74</v>
      </c>
      <c r="E48" s="22"/>
      <c r="F48" s="12" t="e">
        <f t="shared" si="0"/>
        <v>#VALUE!</v>
      </c>
      <c r="G48" s="6" t="e">
        <f t="shared" si="1"/>
        <v>#VALUE!</v>
      </c>
      <c r="H48" s="19">
        <f t="shared" si="2"/>
        <v>-315</v>
      </c>
      <c r="I48" s="25"/>
      <c r="J48" s="22"/>
      <c r="K48" s="64"/>
      <c r="L48" s="65"/>
      <c r="M48" s="65"/>
      <c r="N48" s="65"/>
      <c r="O48" s="65"/>
      <c r="P48" s="65"/>
      <c r="Q48" s="65"/>
      <c r="R48" s="65"/>
      <c r="S48" s="66"/>
      <c r="T48" s="2"/>
      <c r="U48" s="2"/>
      <c r="V48" s="2"/>
      <c r="W48" s="2"/>
      <c r="X48" s="2"/>
      <c r="Y48" s="2"/>
    </row>
    <row r="49" spans="1:25">
      <c r="A49" s="43" t="s">
        <v>75</v>
      </c>
      <c r="B49" s="16"/>
      <c r="D49" s="1" t="s">
        <v>75</v>
      </c>
      <c r="E49" s="22"/>
      <c r="F49" s="12" t="e">
        <f t="shared" si="0"/>
        <v>#VALUE!</v>
      </c>
      <c r="G49" s="6" t="e">
        <f t="shared" si="1"/>
        <v>#VALUE!</v>
      </c>
      <c r="H49" s="19">
        <f t="shared" si="2"/>
        <v>-314</v>
      </c>
      <c r="I49" s="25"/>
      <c r="J49" s="22"/>
      <c r="K49" s="82"/>
      <c r="L49" s="47" t="s">
        <v>390</v>
      </c>
      <c r="M49" s="47"/>
      <c r="N49" s="121">
        <f>N12</f>
        <v>0.5</v>
      </c>
      <c r="O49" s="83"/>
      <c r="P49" s="83"/>
      <c r="Q49" s="56" t="s">
        <v>27</v>
      </c>
      <c r="R49" s="120">
        <f>R12</f>
        <v>0.5</v>
      </c>
      <c r="S49" s="84"/>
      <c r="T49" s="2"/>
      <c r="U49" s="2"/>
      <c r="V49" s="2"/>
      <c r="W49" s="2"/>
      <c r="X49" s="2"/>
      <c r="Y49" s="2"/>
    </row>
    <row r="50" spans="1:25">
      <c r="A50" s="43" t="s">
        <v>76</v>
      </c>
      <c r="B50" s="16"/>
      <c r="D50" s="1" t="s">
        <v>76</v>
      </c>
      <c r="E50" s="22"/>
      <c r="F50" s="12" t="e">
        <f t="shared" si="0"/>
        <v>#VALUE!</v>
      </c>
      <c r="G50" s="6" t="e">
        <f t="shared" si="1"/>
        <v>#VALUE!</v>
      </c>
      <c r="H50" s="19">
        <f t="shared" si="2"/>
        <v>-313</v>
      </c>
      <c r="I50" s="25"/>
      <c r="J50" s="22"/>
      <c r="K50" s="64"/>
      <c r="L50" s="65"/>
      <c r="M50" s="65"/>
      <c r="N50" s="65"/>
      <c r="O50" s="65"/>
      <c r="P50" s="65"/>
      <c r="Q50" s="65"/>
      <c r="R50" s="65"/>
      <c r="S50" s="66"/>
      <c r="T50" s="2"/>
      <c r="U50" s="2"/>
      <c r="V50" s="2"/>
      <c r="W50" s="2"/>
      <c r="X50" s="2"/>
      <c r="Y50" s="2"/>
    </row>
    <row r="51" spans="1:25">
      <c r="A51" s="43" t="s">
        <v>77</v>
      </c>
      <c r="B51" s="16"/>
      <c r="D51" s="1" t="s">
        <v>77</v>
      </c>
      <c r="E51" s="22"/>
      <c r="F51" s="12" t="e">
        <f t="shared" si="0"/>
        <v>#VALUE!</v>
      </c>
      <c r="G51" s="6" t="e">
        <f t="shared" si="1"/>
        <v>#VALUE!</v>
      </c>
      <c r="H51" s="19">
        <f t="shared" si="2"/>
        <v>-312</v>
      </c>
      <c r="I51" s="25"/>
      <c r="J51" s="22"/>
      <c r="K51" s="64"/>
      <c r="L51" s="65"/>
      <c r="M51" s="65"/>
      <c r="N51" s="65"/>
      <c r="O51" s="65"/>
      <c r="P51" s="65"/>
      <c r="Q51" s="65"/>
      <c r="R51" s="65"/>
      <c r="S51" s="66"/>
      <c r="T51" s="2"/>
      <c r="U51" s="2"/>
      <c r="V51" s="2"/>
      <c r="W51" s="2"/>
      <c r="X51" s="2"/>
      <c r="Y51" s="2"/>
    </row>
    <row r="52" spans="1:25">
      <c r="A52" s="43" t="s">
        <v>78</v>
      </c>
      <c r="B52" s="16"/>
      <c r="D52" s="1" t="s">
        <v>78</v>
      </c>
      <c r="E52" s="22"/>
      <c r="F52" s="12" t="e">
        <f t="shared" si="0"/>
        <v>#VALUE!</v>
      </c>
      <c r="G52" s="6" t="e">
        <f t="shared" si="1"/>
        <v>#VALUE!</v>
      </c>
      <c r="H52" s="19">
        <f t="shared" si="2"/>
        <v>-311</v>
      </c>
      <c r="I52" s="25"/>
      <c r="J52" s="22"/>
      <c r="K52" s="64"/>
      <c r="L52" s="65"/>
      <c r="M52" s="65"/>
      <c r="N52" s="65"/>
      <c r="O52" s="65"/>
      <c r="P52" s="65"/>
      <c r="Q52" s="65"/>
      <c r="R52" s="65"/>
      <c r="S52" s="66"/>
      <c r="T52" s="2"/>
      <c r="U52" s="2"/>
      <c r="V52" s="2"/>
      <c r="W52" s="2"/>
      <c r="X52" s="2"/>
      <c r="Y52" s="2"/>
    </row>
    <row r="53" spans="1:25">
      <c r="A53" s="43" t="s">
        <v>79</v>
      </c>
      <c r="B53" s="16"/>
      <c r="D53" s="1" t="s">
        <v>79</v>
      </c>
      <c r="E53" s="22"/>
      <c r="F53" s="12" t="e">
        <f t="shared" si="0"/>
        <v>#VALUE!</v>
      </c>
      <c r="G53" s="6" t="e">
        <f t="shared" si="1"/>
        <v>#VALUE!</v>
      </c>
      <c r="H53" s="19">
        <f t="shared" si="2"/>
        <v>-310</v>
      </c>
      <c r="I53" s="25"/>
      <c r="J53" s="22"/>
      <c r="K53" s="64"/>
      <c r="L53" s="65"/>
      <c r="M53" s="65"/>
      <c r="N53" s="65"/>
      <c r="O53" s="65"/>
      <c r="P53" s="65"/>
      <c r="Q53" s="65"/>
      <c r="R53" s="65"/>
      <c r="S53" s="66"/>
      <c r="T53" s="2"/>
      <c r="U53" s="2"/>
      <c r="V53" s="2"/>
      <c r="W53" s="2"/>
      <c r="X53" s="2"/>
      <c r="Y53" s="2"/>
    </row>
    <row r="54" spans="1:25">
      <c r="A54" s="43" t="s">
        <v>80</v>
      </c>
      <c r="B54" s="16"/>
      <c r="D54" s="1" t="s">
        <v>80</v>
      </c>
      <c r="E54" s="22"/>
      <c r="F54" s="12" t="e">
        <f t="shared" si="0"/>
        <v>#VALUE!</v>
      </c>
      <c r="G54" s="6" t="e">
        <f t="shared" si="1"/>
        <v>#VALUE!</v>
      </c>
      <c r="H54" s="19">
        <f t="shared" si="2"/>
        <v>-309</v>
      </c>
      <c r="I54" s="25"/>
      <c r="J54" s="22"/>
      <c r="K54" s="64"/>
      <c r="L54" s="65"/>
      <c r="M54" s="65"/>
      <c r="N54" s="65"/>
      <c r="O54" s="65"/>
      <c r="P54" s="65"/>
      <c r="Q54" s="65"/>
      <c r="R54" s="65"/>
      <c r="S54" s="66"/>
      <c r="T54" s="2"/>
      <c r="U54" s="2"/>
      <c r="V54" s="2"/>
      <c r="W54" s="2"/>
      <c r="X54" s="2"/>
      <c r="Y54" s="2"/>
    </row>
    <row r="55" spans="1:25">
      <c r="A55" s="43" t="s">
        <v>81</v>
      </c>
      <c r="B55" s="16"/>
      <c r="D55" s="1" t="s">
        <v>81</v>
      </c>
      <c r="E55" s="22"/>
      <c r="F55" s="12" t="e">
        <f t="shared" si="0"/>
        <v>#VALUE!</v>
      </c>
      <c r="G55" s="6" t="e">
        <f t="shared" si="1"/>
        <v>#VALUE!</v>
      </c>
      <c r="H55" s="19">
        <f t="shared" si="2"/>
        <v>-308</v>
      </c>
      <c r="I55" s="25"/>
      <c r="J55" s="22"/>
      <c r="K55" s="64"/>
      <c r="L55" s="65"/>
      <c r="M55" s="65"/>
      <c r="N55" s="65"/>
      <c r="O55" s="65"/>
      <c r="P55" s="65"/>
      <c r="Q55" s="65"/>
      <c r="R55" s="65"/>
      <c r="S55" s="66"/>
      <c r="T55" s="2"/>
      <c r="U55" s="57"/>
      <c r="V55" s="2"/>
      <c r="W55" s="2"/>
      <c r="X55" s="2"/>
      <c r="Y55" s="2"/>
    </row>
    <row r="56" spans="1:25">
      <c r="A56" s="43" t="s">
        <v>82</v>
      </c>
      <c r="B56" s="16"/>
      <c r="D56" s="1" t="s">
        <v>82</v>
      </c>
      <c r="E56" s="22"/>
      <c r="F56" s="12" t="e">
        <f t="shared" si="0"/>
        <v>#VALUE!</v>
      </c>
      <c r="G56" s="6" t="e">
        <f t="shared" si="1"/>
        <v>#VALUE!</v>
      </c>
      <c r="H56" s="19">
        <f t="shared" si="2"/>
        <v>-307</v>
      </c>
      <c r="I56" s="25"/>
      <c r="J56" s="22"/>
      <c r="K56" s="64"/>
      <c r="L56" s="65"/>
      <c r="M56" s="65"/>
      <c r="N56" s="65"/>
      <c r="O56" s="65"/>
      <c r="P56" s="65"/>
      <c r="Q56" s="65"/>
      <c r="R56" s="65"/>
      <c r="S56" s="66"/>
      <c r="T56" s="2"/>
      <c r="U56" s="2"/>
      <c r="V56" s="2"/>
      <c r="W56" s="2"/>
      <c r="X56" s="2"/>
      <c r="Y56" s="2"/>
    </row>
    <row r="57" spans="1:25">
      <c r="A57" s="43" t="s">
        <v>83</v>
      </c>
      <c r="B57" s="16"/>
      <c r="D57" s="1" t="s">
        <v>83</v>
      </c>
      <c r="E57" s="22"/>
      <c r="F57" s="12" t="e">
        <f t="shared" si="0"/>
        <v>#VALUE!</v>
      </c>
      <c r="G57" s="6" t="e">
        <f t="shared" si="1"/>
        <v>#VALUE!</v>
      </c>
      <c r="H57" s="19">
        <f t="shared" si="2"/>
        <v>-306</v>
      </c>
      <c r="I57" s="25"/>
      <c r="J57" s="22"/>
      <c r="K57" s="64"/>
      <c r="L57" s="65"/>
      <c r="M57" s="65"/>
      <c r="N57" s="65"/>
      <c r="O57" s="65"/>
      <c r="P57" s="65"/>
      <c r="Q57" s="65"/>
      <c r="R57" s="65"/>
      <c r="S57" s="66"/>
      <c r="T57" s="2"/>
      <c r="U57" s="2"/>
      <c r="V57" s="2"/>
      <c r="W57" s="2"/>
      <c r="X57" s="2"/>
      <c r="Y57" s="2"/>
    </row>
    <row r="58" spans="1:25">
      <c r="A58" s="43" t="s">
        <v>84</v>
      </c>
      <c r="B58" s="16"/>
      <c r="D58" s="1" t="s">
        <v>84</v>
      </c>
      <c r="E58" s="22"/>
      <c r="F58" s="12" t="e">
        <f t="shared" si="0"/>
        <v>#VALUE!</v>
      </c>
      <c r="G58" s="6" t="e">
        <f t="shared" si="1"/>
        <v>#VALUE!</v>
      </c>
      <c r="H58" s="19">
        <f t="shared" si="2"/>
        <v>-305</v>
      </c>
      <c r="I58" s="25"/>
      <c r="J58" s="22"/>
      <c r="K58" s="64"/>
      <c r="L58" s="59" t="s">
        <v>389</v>
      </c>
      <c r="M58" s="59"/>
      <c r="N58" s="14"/>
      <c r="O58" s="65"/>
      <c r="P58" s="65"/>
      <c r="Q58" s="56" t="s">
        <v>391</v>
      </c>
      <c r="R58" s="120"/>
      <c r="S58" s="66"/>
      <c r="T58" s="2"/>
      <c r="U58" s="2"/>
      <c r="V58" s="2"/>
      <c r="W58" s="2"/>
      <c r="X58" s="2"/>
      <c r="Y58" s="2"/>
    </row>
    <row r="59" spans="1:25">
      <c r="A59" s="43" t="s">
        <v>85</v>
      </c>
      <c r="B59" s="16"/>
      <c r="D59" s="1" t="s">
        <v>85</v>
      </c>
      <c r="E59" s="22"/>
      <c r="F59" s="12" t="e">
        <f t="shared" si="0"/>
        <v>#VALUE!</v>
      </c>
      <c r="G59" s="6" t="e">
        <f t="shared" si="1"/>
        <v>#VALUE!</v>
      </c>
      <c r="H59" s="19">
        <f t="shared" si="2"/>
        <v>-304</v>
      </c>
      <c r="I59" s="25"/>
      <c r="J59" s="22"/>
      <c r="K59" s="64"/>
      <c r="L59" s="65"/>
      <c r="M59" s="65"/>
      <c r="N59" s="65"/>
      <c r="O59" s="65"/>
      <c r="P59" s="65"/>
      <c r="Q59" s="65"/>
      <c r="R59" s="65"/>
      <c r="S59" s="66"/>
      <c r="T59" s="2"/>
      <c r="U59" s="2"/>
      <c r="V59" s="2"/>
      <c r="W59" s="2"/>
      <c r="X59" s="2"/>
      <c r="Y59" s="2"/>
    </row>
    <row r="60" spans="1:25">
      <c r="A60" s="43" t="s">
        <v>86</v>
      </c>
      <c r="B60" s="16"/>
      <c r="D60" s="1" t="s">
        <v>86</v>
      </c>
      <c r="E60" s="22"/>
      <c r="F60" s="12" t="e">
        <f t="shared" si="0"/>
        <v>#VALUE!</v>
      </c>
      <c r="G60" s="6" t="e">
        <f t="shared" si="1"/>
        <v>#VALUE!</v>
      </c>
      <c r="H60" s="19">
        <f t="shared" si="2"/>
        <v>-303</v>
      </c>
      <c r="I60" s="25"/>
      <c r="J60" s="22"/>
      <c r="K60" s="64"/>
      <c r="L60" s="65"/>
      <c r="M60" s="65"/>
      <c r="N60" s="65"/>
      <c r="O60" s="65"/>
      <c r="P60" s="65"/>
      <c r="Q60" s="65"/>
      <c r="R60" s="65"/>
      <c r="S60" s="66"/>
      <c r="T60" s="2"/>
      <c r="U60" s="2"/>
      <c r="V60" s="2"/>
      <c r="W60" s="2"/>
      <c r="X60" s="2"/>
      <c r="Y60" s="2"/>
    </row>
    <row r="61" spans="1:25">
      <c r="A61" s="43" t="s">
        <v>87</v>
      </c>
      <c r="B61" s="16"/>
      <c r="D61" s="1" t="s">
        <v>87</v>
      </c>
      <c r="E61" s="22"/>
      <c r="F61" s="12" t="e">
        <f t="shared" si="0"/>
        <v>#VALUE!</v>
      </c>
      <c r="G61" s="6" t="e">
        <f t="shared" si="1"/>
        <v>#VALUE!</v>
      </c>
      <c r="H61" s="19">
        <f t="shared" si="2"/>
        <v>-302</v>
      </c>
      <c r="I61" s="25"/>
      <c r="J61" s="22"/>
      <c r="K61" s="67"/>
      <c r="L61" s="68"/>
      <c r="M61" s="68"/>
      <c r="N61" s="68"/>
      <c r="O61" s="68"/>
      <c r="P61" s="68"/>
      <c r="Q61" s="68"/>
      <c r="R61" s="68"/>
      <c r="S61" s="69"/>
      <c r="T61" s="2"/>
      <c r="U61" s="2"/>
      <c r="V61" s="2"/>
      <c r="W61" s="2"/>
      <c r="X61" s="2"/>
      <c r="Y61" s="2"/>
    </row>
    <row r="62" spans="1:25">
      <c r="A62" s="43" t="s">
        <v>88</v>
      </c>
      <c r="B62" s="16"/>
      <c r="D62" s="1" t="s">
        <v>88</v>
      </c>
      <c r="E62" s="22"/>
      <c r="F62" s="12" t="e">
        <f t="shared" si="0"/>
        <v>#VALUE!</v>
      </c>
      <c r="G62" s="6" t="e">
        <f t="shared" si="1"/>
        <v>#VALUE!</v>
      </c>
      <c r="H62" s="19">
        <f t="shared" si="2"/>
        <v>-301</v>
      </c>
      <c r="I62" s="25"/>
      <c r="J62" s="2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</row>
    <row r="63" spans="1:25">
      <c r="A63" s="43" t="s">
        <v>89</v>
      </c>
      <c r="B63" s="16"/>
      <c r="D63" s="1" t="s">
        <v>89</v>
      </c>
      <c r="E63" s="22"/>
      <c r="F63" s="12" t="e">
        <f t="shared" si="0"/>
        <v>#VALUE!</v>
      </c>
      <c r="G63" s="6" t="e">
        <f t="shared" si="1"/>
        <v>#VALUE!</v>
      </c>
      <c r="H63" s="19">
        <f t="shared" si="2"/>
        <v>-300</v>
      </c>
      <c r="I63" s="25"/>
      <c r="J63" s="81"/>
      <c r="K63" s="70"/>
      <c r="L63" s="71"/>
      <c r="M63" s="71"/>
      <c r="N63" s="72"/>
      <c r="O63" s="125" t="s">
        <v>16</v>
      </c>
      <c r="P63" s="48" t="s">
        <v>17</v>
      </c>
      <c r="Q63" s="48"/>
      <c r="R63" s="70"/>
      <c r="S63" s="72"/>
      <c r="T63" s="2"/>
      <c r="U63" s="2"/>
      <c r="V63" s="2"/>
      <c r="W63" s="2"/>
      <c r="X63" s="2"/>
      <c r="Y63" s="2"/>
    </row>
    <row r="64" spans="1:25">
      <c r="A64" s="43" t="s">
        <v>90</v>
      </c>
      <c r="B64" s="16"/>
      <c r="D64" s="1" t="s">
        <v>90</v>
      </c>
      <c r="E64" s="22"/>
      <c r="F64" s="12" t="e">
        <f t="shared" si="0"/>
        <v>#VALUE!</v>
      </c>
      <c r="G64" s="6" t="e">
        <f t="shared" si="1"/>
        <v>#VALUE!</v>
      </c>
      <c r="H64" s="19">
        <f t="shared" si="2"/>
        <v>-299</v>
      </c>
      <c r="I64" s="25"/>
      <c r="J64" s="81"/>
      <c r="K64" s="73"/>
      <c r="L64" s="74"/>
      <c r="M64" s="74"/>
      <c r="N64" s="75"/>
      <c r="O64" s="126"/>
      <c r="P64" s="49"/>
      <c r="Q64" s="101" t="s">
        <v>392</v>
      </c>
      <c r="R64" s="73"/>
      <c r="S64" s="75"/>
      <c r="T64" s="2"/>
      <c r="U64" s="2"/>
      <c r="V64" s="2"/>
      <c r="W64" s="2"/>
      <c r="X64" s="2"/>
      <c r="Y64" s="2"/>
    </row>
    <row r="65" spans="1:25">
      <c r="A65" s="43" t="s">
        <v>91</v>
      </c>
      <c r="B65" s="16"/>
      <c r="D65" s="1" t="s">
        <v>91</v>
      </c>
      <c r="E65" s="22"/>
      <c r="F65" s="12" t="e">
        <f t="shared" si="0"/>
        <v>#VALUE!</v>
      </c>
      <c r="G65" s="6" t="e">
        <f t="shared" si="1"/>
        <v>#VALUE!</v>
      </c>
      <c r="H65" s="19">
        <f t="shared" si="2"/>
        <v>-298</v>
      </c>
      <c r="I65" s="25"/>
      <c r="J65" s="81"/>
      <c r="K65" s="73"/>
      <c r="L65" s="74"/>
      <c r="M65" s="74"/>
      <c r="N65" s="75"/>
      <c r="O65" s="127"/>
      <c r="P65" s="50"/>
      <c r="Q65" s="101" t="s">
        <v>393</v>
      </c>
      <c r="R65" s="73"/>
      <c r="S65" s="75"/>
      <c r="T65" s="2"/>
      <c r="U65" s="2"/>
      <c r="V65" s="2"/>
      <c r="W65" s="2"/>
      <c r="X65" s="2"/>
      <c r="Y65" s="2"/>
    </row>
    <row r="66" spans="1:25">
      <c r="A66" s="43" t="s">
        <v>92</v>
      </c>
      <c r="B66" s="16"/>
      <c r="D66" s="1" t="s">
        <v>92</v>
      </c>
      <c r="E66" s="22"/>
      <c r="F66" s="12" t="e">
        <f t="shared" si="0"/>
        <v>#VALUE!</v>
      </c>
      <c r="G66" s="6" t="e">
        <f t="shared" si="1"/>
        <v>#VALUE!</v>
      </c>
      <c r="H66" s="19">
        <f t="shared" si="2"/>
        <v>-297</v>
      </c>
      <c r="I66" s="25"/>
      <c r="J66" s="81"/>
      <c r="K66" s="73"/>
      <c r="L66" s="74"/>
      <c r="M66" s="74"/>
      <c r="N66" s="75"/>
      <c r="O66" s="125">
        <f>P116</f>
        <v>0</v>
      </c>
      <c r="P66" s="58">
        <f>R113</f>
        <v>-180</v>
      </c>
      <c r="Q66" s="102" t="s">
        <v>394</v>
      </c>
      <c r="R66" s="73"/>
      <c r="S66" s="75"/>
      <c r="T66" s="2"/>
      <c r="U66" s="2"/>
      <c r="V66" s="2"/>
      <c r="W66" s="2"/>
      <c r="X66" s="2"/>
      <c r="Y66" s="2"/>
    </row>
    <row r="67" spans="1:25">
      <c r="A67" s="43" t="s">
        <v>93</v>
      </c>
      <c r="B67" s="16"/>
      <c r="D67" s="1" t="s">
        <v>93</v>
      </c>
      <c r="E67" s="22"/>
      <c r="F67" s="12" t="e">
        <f t="shared" si="0"/>
        <v>#VALUE!</v>
      </c>
      <c r="G67" s="6" t="e">
        <f t="shared" si="1"/>
        <v>#VALUE!</v>
      </c>
      <c r="H67" s="19">
        <f t="shared" si="2"/>
        <v>-296</v>
      </c>
      <c r="I67" s="25"/>
      <c r="J67" s="81"/>
      <c r="K67" s="73"/>
      <c r="L67" s="74"/>
      <c r="M67" s="74"/>
      <c r="N67" s="75"/>
      <c r="O67" s="125">
        <f>P114</f>
        <v>-180</v>
      </c>
      <c r="P67" s="58">
        <f>R111</f>
        <v>0</v>
      </c>
      <c r="Q67" s="102" t="s">
        <v>395</v>
      </c>
      <c r="R67" s="73"/>
      <c r="S67" s="75"/>
      <c r="T67" s="2"/>
      <c r="V67" s="2"/>
      <c r="W67" s="2"/>
      <c r="X67" s="2"/>
      <c r="Y67" s="2"/>
    </row>
    <row r="68" spans="1:25">
      <c r="A68" s="43" t="s">
        <v>94</v>
      </c>
      <c r="B68" s="16"/>
      <c r="D68" s="1" t="s">
        <v>94</v>
      </c>
      <c r="E68" s="22"/>
      <c r="F68" s="12" t="e">
        <f t="shared" ref="F68:F131" si="3">SUBSTITUTE(B68,".",",")*100/100</f>
        <v>#VALUE!</v>
      </c>
      <c r="G68" s="6" t="e">
        <f t="shared" ref="G68:G131" si="4">SUBSTITUTE(E68,".",",")*100/100</f>
        <v>#VALUE!</v>
      </c>
      <c r="H68" s="19">
        <f t="shared" si="2"/>
        <v>-295</v>
      </c>
      <c r="I68" s="25"/>
      <c r="J68" s="81"/>
      <c r="K68" s="73"/>
      <c r="L68" s="74"/>
      <c r="M68" s="74"/>
      <c r="N68" s="75"/>
      <c r="O68" s="133">
        <f>P116+R111</f>
        <v>0</v>
      </c>
      <c r="P68" s="134"/>
      <c r="Q68" s="102" t="s">
        <v>396</v>
      </c>
      <c r="R68" s="73"/>
      <c r="S68" s="75"/>
      <c r="T68" s="2"/>
      <c r="U68" s="2"/>
      <c r="V68" s="2"/>
      <c r="W68" s="2"/>
      <c r="X68" s="2"/>
      <c r="Y68" s="2"/>
    </row>
    <row r="69" spans="1:25">
      <c r="A69" s="43" t="s">
        <v>95</v>
      </c>
      <c r="B69" s="16"/>
      <c r="D69" s="1" t="s">
        <v>95</v>
      </c>
      <c r="E69" s="22"/>
      <c r="F69" s="12" t="e">
        <f t="shared" si="3"/>
        <v>#VALUE!</v>
      </c>
      <c r="G69" s="6" t="e">
        <f t="shared" si="4"/>
        <v>#VALUE!</v>
      </c>
      <c r="H69" s="19">
        <f t="shared" ref="H69:H132" si="5">H68+1</f>
        <v>-294</v>
      </c>
      <c r="I69" s="25"/>
      <c r="J69" s="81"/>
      <c r="K69" s="76"/>
      <c r="L69" s="77"/>
      <c r="M69" s="77"/>
      <c r="N69" s="77"/>
      <c r="O69" s="129"/>
      <c r="P69" s="129"/>
      <c r="Q69" s="129" t="s">
        <v>400</v>
      </c>
      <c r="R69" s="77"/>
      <c r="S69" s="78"/>
      <c r="T69" s="2"/>
      <c r="U69" s="2"/>
      <c r="V69" s="2"/>
      <c r="W69" s="2"/>
      <c r="X69" s="2"/>
      <c r="Y69" s="2"/>
    </row>
    <row r="70" spans="1:25">
      <c r="A70" s="43" t="s">
        <v>96</v>
      </c>
      <c r="B70" s="16"/>
      <c r="D70" s="1" t="s">
        <v>96</v>
      </c>
      <c r="E70" s="22"/>
      <c r="F70" s="12" t="e">
        <f t="shared" si="3"/>
        <v>#VALUE!</v>
      </c>
      <c r="G70" s="6" t="e">
        <f t="shared" si="4"/>
        <v>#VALUE!</v>
      </c>
      <c r="H70" s="19">
        <f t="shared" si="5"/>
        <v>-293</v>
      </c>
      <c r="I70" s="25"/>
      <c r="J70" s="22"/>
      <c r="K70" s="2"/>
      <c r="L70" s="2"/>
      <c r="M70" s="2"/>
      <c r="N70" s="2"/>
      <c r="O70" s="2"/>
      <c r="P70" s="2"/>
      <c r="T70" s="2"/>
      <c r="U70" s="2"/>
      <c r="V70" s="2"/>
      <c r="W70" s="2"/>
      <c r="X70" s="2"/>
      <c r="Y70" s="2"/>
    </row>
    <row r="71" spans="1:25">
      <c r="A71" s="43" t="s">
        <v>97</v>
      </c>
      <c r="B71" s="16"/>
      <c r="D71" s="1" t="s">
        <v>97</v>
      </c>
      <c r="E71" s="22"/>
      <c r="F71" s="12" t="e">
        <f t="shared" si="3"/>
        <v>#VALUE!</v>
      </c>
      <c r="G71" s="6" t="e">
        <f t="shared" si="4"/>
        <v>#VALUE!</v>
      </c>
      <c r="H71" s="19">
        <f t="shared" si="5"/>
        <v>-292</v>
      </c>
      <c r="I71" s="25"/>
      <c r="J71" s="22"/>
      <c r="K71" s="2"/>
      <c r="L71" s="2"/>
      <c r="M71" s="2"/>
      <c r="N71" s="2"/>
      <c r="O71" s="2"/>
      <c r="P71" s="2"/>
      <c r="T71" s="2"/>
      <c r="U71" s="2"/>
      <c r="V71" s="2"/>
      <c r="W71" s="2"/>
      <c r="X71" s="2"/>
      <c r="Y71" s="2"/>
    </row>
    <row r="72" spans="1:25">
      <c r="A72" s="43" t="s">
        <v>98</v>
      </c>
      <c r="B72" s="16"/>
      <c r="D72" s="1" t="s">
        <v>98</v>
      </c>
      <c r="E72" s="22"/>
      <c r="F72" s="12" t="e">
        <f t="shared" si="3"/>
        <v>#VALUE!</v>
      </c>
      <c r="G72" s="6" t="e">
        <f t="shared" si="4"/>
        <v>#VALUE!</v>
      </c>
      <c r="H72" s="19">
        <f t="shared" si="5"/>
        <v>-291</v>
      </c>
      <c r="I72" s="25"/>
      <c r="J72" s="22"/>
      <c r="K72" s="2"/>
      <c r="L72" s="2"/>
      <c r="M72" s="2"/>
      <c r="N72" s="2"/>
      <c r="O72" s="2"/>
      <c r="P72" s="2"/>
      <c r="T72" s="2"/>
      <c r="U72" s="2"/>
      <c r="V72" s="2"/>
      <c r="W72" s="2"/>
      <c r="X72" s="2"/>
      <c r="Y72" s="2"/>
    </row>
    <row r="73" spans="1:25">
      <c r="A73" s="43" t="s">
        <v>99</v>
      </c>
      <c r="B73" s="16"/>
      <c r="D73" s="1" t="s">
        <v>99</v>
      </c>
      <c r="E73" s="22"/>
      <c r="F73" s="12" t="e">
        <f t="shared" si="3"/>
        <v>#VALUE!</v>
      </c>
      <c r="G73" s="6" t="e">
        <f t="shared" si="4"/>
        <v>#VALUE!</v>
      </c>
      <c r="H73" s="19">
        <f t="shared" si="5"/>
        <v>-290</v>
      </c>
      <c r="I73" s="25"/>
      <c r="J73" s="22"/>
      <c r="K73" s="2"/>
      <c r="T73" s="2"/>
      <c r="U73" s="2"/>
      <c r="V73" s="2"/>
      <c r="W73" s="2"/>
      <c r="X73" s="2"/>
      <c r="Y73" s="2"/>
    </row>
    <row r="74" spans="1:25">
      <c r="A74" s="43" t="s">
        <v>100</v>
      </c>
      <c r="B74" s="16"/>
      <c r="D74" s="1" t="s">
        <v>100</v>
      </c>
      <c r="E74" s="22"/>
      <c r="F74" s="12" t="e">
        <f t="shared" si="3"/>
        <v>#VALUE!</v>
      </c>
      <c r="G74" s="6" t="e">
        <f t="shared" si="4"/>
        <v>#VALUE!</v>
      </c>
      <c r="H74" s="19">
        <f t="shared" si="5"/>
        <v>-289</v>
      </c>
      <c r="I74" s="25"/>
      <c r="J74" s="22"/>
      <c r="K74" s="8"/>
      <c r="T74" s="2"/>
      <c r="U74" s="2"/>
      <c r="V74" s="2"/>
      <c r="W74" s="2"/>
      <c r="X74" s="2"/>
      <c r="Y74" s="2"/>
    </row>
    <row r="75" spans="1:25">
      <c r="A75" s="43" t="s">
        <v>101</v>
      </c>
      <c r="B75" s="16"/>
      <c r="D75" s="1" t="s">
        <v>101</v>
      </c>
      <c r="E75" s="22"/>
      <c r="F75" s="12" t="e">
        <f t="shared" si="3"/>
        <v>#VALUE!</v>
      </c>
      <c r="G75" s="6" t="e">
        <f t="shared" si="4"/>
        <v>#VALUE!</v>
      </c>
      <c r="H75" s="19">
        <f t="shared" si="5"/>
        <v>-288</v>
      </c>
      <c r="I75" s="25"/>
      <c r="J75" s="22"/>
      <c r="K75" s="128"/>
      <c r="T75" s="2"/>
      <c r="U75" s="2"/>
      <c r="V75" s="2"/>
      <c r="W75" s="2"/>
      <c r="X75" s="2"/>
      <c r="Y75" s="2"/>
    </row>
    <row r="76" spans="1:25">
      <c r="A76" s="43" t="s">
        <v>102</v>
      </c>
      <c r="B76" s="16"/>
      <c r="D76" s="1" t="s">
        <v>102</v>
      </c>
      <c r="E76" s="22"/>
      <c r="F76" s="12" t="e">
        <f t="shared" si="3"/>
        <v>#VALUE!</v>
      </c>
      <c r="G76" s="6" t="e">
        <f t="shared" si="4"/>
        <v>#VALUE!</v>
      </c>
      <c r="H76" s="19">
        <f t="shared" si="5"/>
        <v>-287</v>
      </c>
      <c r="I76" s="25"/>
      <c r="J76" s="22"/>
      <c r="K76" s="2"/>
      <c r="T76" s="2"/>
      <c r="U76" s="2"/>
      <c r="V76" s="2"/>
      <c r="W76" s="2"/>
      <c r="X76" s="2"/>
      <c r="Y76" s="2"/>
    </row>
    <row r="77" spans="1:25">
      <c r="A77" s="43" t="s">
        <v>103</v>
      </c>
      <c r="B77" s="16"/>
      <c r="D77" s="1" t="s">
        <v>103</v>
      </c>
      <c r="E77" s="22"/>
      <c r="F77" s="12" t="e">
        <f t="shared" si="3"/>
        <v>#VALUE!</v>
      </c>
      <c r="G77" s="6" t="e">
        <f t="shared" si="4"/>
        <v>#VALUE!</v>
      </c>
      <c r="H77" s="19">
        <f t="shared" si="5"/>
        <v>-286</v>
      </c>
      <c r="I77" s="25"/>
      <c r="J77" s="22"/>
      <c r="K77" s="2"/>
      <c r="T77" s="2"/>
      <c r="U77" s="2"/>
      <c r="V77" s="2"/>
      <c r="W77" s="2"/>
      <c r="X77" s="2"/>
      <c r="Y77" s="2"/>
    </row>
    <row r="78" spans="1:25">
      <c r="A78" s="43" t="s">
        <v>104</v>
      </c>
      <c r="B78" s="16"/>
      <c r="D78" s="1" t="s">
        <v>104</v>
      </c>
      <c r="E78" s="22"/>
      <c r="F78" s="12" t="e">
        <f t="shared" si="3"/>
        <v>#VALUE!</v>
      </c>
      <c r="G78" s="6" t="e">
        <f t="shared" si="4"/>
        <v>#VALUE!</v>
      </c>
      <c r="H78" s="19">
        <f t="shared" si="5"/>
        <v>-285</v>
      </c>
      <c r="I78" s="25"/>
      <c r="J78" s="22"/>
      <c r="K78" s="2"/>
      <c r="T78" s="2"/>
      <c r="U78" s="2"/>
      <c r="V78" s="2"/>
      <c r="W78" s="2"/>
      <c r="X78" s="2"/>
      <c r="Y78" s="2"/>
    </row>
    <row r="79" spans="1:25">
      <c r="A79" s="43" t="s">
        <v>105</v>
      </c>
      <c r="B79" s="16"/>
      <c r="D79" s="1" t="s">
        <v>105</v>
      </c>
      <c r="E79" s="22"/>
      <c r="F79" s="12" t="e">
        <f t="shared" si="3"/>
        <v>#VALUE!</v>
      </c>
      <c r="G79" s="6" t="e">
        <f t="shared" si="4"/>
        <v>#VALUE!</v>
      </c>
      <c r="H79" s="19">
        <f t="shared" si="5"/>
        <v>-284</v>
      </c>
      <c r="I79" s="25"/>
      <c r="J79" s="22"/>
      <c r="K79" s="2"/>
      <c r="T79" s="2"/>
      <c r="U79" s="2"/>
      <c r="V79" s="2"/>
      <c r="W79" s="2"/>
      <c r="X79" s="2"/>
      <c r="Y79" s="2"/>
    </row>
    <row r="80" spans="1:25">
      <c r="A80" s="43" t="s">
        <v>106</v>
      </c>
      <c r="B80" s="16"/>
      <c r="D80" s="1" t="s">
        <v>106</v>
      </c>
      <c r="E80" s="22"/>
      <c r="F80" s="12" t="e">
        <f t="shared" si="3"/>
        <v>#VALUE!</v>
      </c>
      <c r="G80" s="6" t="e">
        <f t="shared" si="4"/>
        <v>#VALUE!</v>
      </c>
      <c r="H80" s="19">
        <f t="shared" si="5"/>
        <v>-283</v>
      </c>
      <c r="I80" s="25"/>
      <c r="J80" s="22"/>
      <c r="K80" s="2"/>
      <c r="T80" s="2"/>
      <c r="U80" s="2" t="s">
        <v>5</v>
      </c>
      <c r="V80" s="2"/>
      <c r="W80" s="2"/>
      <c r="X80" s="2"/>
      <c r="Y80" s="2"/>
    </row>
    <row r="81" spans="1:25" ht="15" customHeight="1">
      <c r="A81" s="43" t="s">
        <v>107</v>
      </c>
      <c r="B81" s="16"/>
      <c r="D81" s="1" t="s">
        <v>107</v>
      </c>
      <c r="E81" s="22"/>
      <c r="F81" s="12" t="e">
        <f t="shared" si="3"/>
        <v>#VALUE!</v>
      </c>
      <c r="G81" s="6" t="e">
        <f t="shared" si="4"/>
        <v>#VALUE!</v>
      </c>
      <c r="H81" s="19">
        <f t="shared" si="5"/>
        <v>-282</v>
      </c>
      <c r="I81" s="25"/>
      <c r="J81" s="22"/>
      <c r="K81" s="2"/>
      <c r="T81" s="2"/>
      <c r="U81" s="2"/>
      <c r="V81" s="2"/>
      <c r="W81" s="2"/>
      <c r="X81" s="2"/>
      <c r="Y81" s="2"/>
    </row>
    <row r="82" spans="1:25" ht="15" customHeight="1">
      <c r="A82" s="43" t="s">
        <v>108</v>
      </c>
      <c r="B82" s="16"/>
      <c r="D82" s="1" t="s">
        <v>108</v>
      </c>
      <c r="E82" s="22"/>
      <c r="F82" s="12" t="e">
        <f t="shared" si="3"/>
        <v>#VALUE!</v>
      </c>
      <c r="G82" s="6" t="e">
        <f t="shared" si="4"/>
        <v>#VALUE!</v>
      </c>
      <c r="H82" s="19">
        <f t="shared" si="5"/>
        <v>-281</v>
      </c>
      <c r="I82" s="25"/>
      <c r="J82" s="22"/>
      <c r="K82" s="2"/>
      <c r="T82" s="2"/>
      <c r="U82" s="2"/>
      <c r="V82" s="2"/>
      <c r="W82" s="2"/>
      <c r="X82" s="2"/>
      <c r="Y82" s="2"/>
    </row>
    <row r="83" spans="1:25" ht="15" customHeight="1">
      <c r="A83" s="43" t="s">
        <v>109</v>
      </c>
      <c r="B83" s="16"/>
      <c r="D83" s="1" t="s">
        <v>109</v>
      </c>
      <c r="E83" s="22"/>
      <c r="F83" s="12" t="e">
        <f t="shared" si="3"/>
        <v>#VALUE!</v>
      </c>
      <c r="G83" s="6" t="e">
        <f t="shared" si="4"/>
        <v>#VALUE!</v>
      </c>
      <c r="H83" s="19">
        <f t="shared" si="5"/>
        <v>-280</v>
      </c>
      <c r="I83" s="25"/>
      <c r="J83" s="22"/>
      <c r="K83" s="2"/>
      <c r="T83" s="2"/>
      <c r="U83" s="2"/>
      <c r="V83" s="2"/>
      <c r="W83" s="2"/>
      <c r="X83" s="2"/>
      <c r="Y83" s="2"/>
    </row>
    <row r="84" spans="1:25">
      <c r="A84" s="43" t="s">
        <v>110</v>
      </c>
      <c r="B84" s="16"/>
      <c r="D84" s="1" t="s">
        <v>110</v>
      </c>
      <c r="E84" s="22"/>
      <c r="F84" s="12" t="e">
        <f t="shared" si="3"/>
        <v>#VALUE!</v>
      </c>
      <c r="G84" s="6" t="e">
        <f t="shared" si="4"/>
        <v>#VALUE!</v>
      </c>
      <c r="H84" s="19">
        <f t="shared" si="5"/>
        <v>-279</v>
      </c>
      <c r="I84" s="25"/>
      <c r="J84" s="22"/>
      <c r="K84" s="2"/>
      <c r="T84" s="2"/>
      <c r="U84" s="2"/>
      <c r="V84" s="2"/>
      <c r="W84" s="2"/>
      <c r="X84" s="2"/>
      <c r="Y84" s="2"/>
    </row>
    <row r="85" spans="1:25">
      <c r="A85" s="43" t="s">
        <v>111</v>
      </c>
      <c r="B85" s="16"/>
      <c r="D85" s="1" t="s">
        <v>111</v>
      </c>
      <c r="E85" s="22"/>
      <c r="F85" s="12" t="e">
        <f t="shared" si="3"/>
        <v>#VALUE!</v>
      </c>
      <c r="G85" s="6" t="e">
        <f t="shared" si="4"/>
        <v>#VALUE!</v>
      </c>
      <c r="H85" s="19">
        <f t="shared" si="5"/>
        <v>-278</v>
      </c>
      <c r="I85" s="25"/>
      <c r="J85" s="22"/>
      <c r="K85" s="2"/>
      <c r="T85" s="2"/>
      <c r="U85" s="2"/>
      <c r="V85" s="2"/>
      <c r="W85" s="2"/>
      <c r="X85" s="2"/>
      <c r="Y85" s="2"/>
    </row>
    <row r="86" spans="1:25">
      <c r="A86" s="43" t="s">
        <v>112</v>
      </c>
      <c r="B86" s="16"/>
      <c r="D86" s="1" t="s">
        <v>112</v>
      </c>
      <c r="E86" s="22"/>
      <c r="F86" s="12" t="e">
        <f t="shared" si="3"/>
        <v>#VALUE!</v>
      </c>
      <c r="G86" s="6" t="e">
        <f t="shared" si="4"/>
        <v>#VALUE!</v>
      </c>
      <c r="H86" s="19">
        <f t="shared" si="5"/>
        <v>-277</v>
      </c>
      <c r="I86" s="25"/>
      <c r="J86" s="22"/>
      <c r="K86" s="2"/>
      <c r="T86" s="2"/>
      <c r="U86" s="2"/>
      <c r="V86" s="2"/>
      <c r="W86" s="2"/>
      <c r="X86" s="2"/>
      <c r="Y86" s="2"/>
    </row>
    <row r="87" spans="1:25">
      <c r="A87" s="43" t="s">
        <v>113</v>
      </c>
      <c r="B87" s="16"/>
      <c r="D87" s="1" t="s">
        <v>113</v>
      </c>
      <c r="E87" s="22"/>
      <c r="F87" s="12" t="e">
        <f t="shared" si="3"/>
        <v>#VALUE!</v>
      </c>
      <c r="G87" s="6" t="e">
        <f t="shared" si="4"/>
        <v>#VALUE!</v>
      </c>
      <c r="H87" s="19">
        <f t="shared" si="5"/>
        <v>-276</v>
      </c>
      <c r="I87" s="25"/>
      <c r="J87" s="22"/>
      <c r="K87" s="2"/>
      <c r="T87" s="2"/>
      <c r="U87" s="2"/>
      <c r="V87" s="2"/>
      <c r="W87" s="2"/>
      <c r="X87" s="2"/>
      <c r="Y87" s="2"/>
    </row>
    <row r="88" spans="1:25">
      <c r="A88" s="43" t="s">
        <v>114</v>
      </c>
      <c r="B88" s="16"/>
      <c r="D88" s="1" t="s">
        <v>114</v>
      </c>
      <c r="E88" s="22"/>
      <c r="F88" s="12" t="e">
        <f t="shared" si="3"/>
        <v>#VALUE!</v>
      </c>
      <c r="G88" s="6" t="e">
        <f t="shared" si="4"/>
        <v>#VALUE!</v>
      </c>
      <c r="H88" s="19">
        <f t="shared" si="5"/>
        <v>-275</v>
      </c>
      <c r="I88" s="25"/>
      <c r="J88" s="22"/>
      <c r="K88" s="2"/>
      <c r="T88" s="2"/>
      <c r="U88" s="2"/>
      <c r="V88" s="2"/>
      <c r="W88" s="2"/>
      <c r="X88" s="2"/>
      <c r="Y88" s="2"/>
    </row>
    <row r="89" spans="1:25">
      <c r="A89" s="43" t="s">
        <v>115</v>
      </c>
      <c r="B89" s="16"/>
      <c r="D89" s="1" t="s">
        <v>115</v>
      </c>
      <c r="E89" s="22"/>
      <c r="F89" s="12" t="e">
        <f t="shared" si="3"/>
        <v>#VALUE!</v>
      </c>
      <c r="G89" s="6" t="e">
        <f t="shared" si="4"/>
        <v>#VALUE!</v>
      </c>
      <c r="H89" s="19">
        <f t="shared" si="5"/>
        <v>-274</v>
      </c>
      <c r="I89" s="25"/>
      <c r="J89" s="22"/>
      <c r="K89" s="2"/>
      <c r="T89" s="2"/>
      <c r="U89" s="2"/>
      <c r="V89" s="2"/>
      <c r="W89" s="2"/>
      <c r="X89" s="2"/>
      <c r="Y89" s="2"/>
    </row>
    <row r="90" spans="1:25">
      <c r="A90" s="43" t="s">
        <v>116</v>
      </c>
      <c r="B90" s="16"/>
      <c r="D90" s="1" t="s">
        <v>116</v>
      </c>
      <c r="E90" s="22"/>
      <c r="F90" s="12" t="e">
        <f t="shared" si="3"/>
        <v>#VALUE!</v>
      </c>
      <c r="G90" s="6" t="e">
        <f t="shared" si="4"/>
        <v>#VALUE!</v>
      </c>
      <c r="H90" s="19">
        <f t="shared" si="5"/>
        <v>-273</v>
      </c>
      <c r="I90" s="25"/>
      <c r="J90" s="22"/>
      <c r="K90" s="2"/>
      <c r="T90" s="2"/>
      <c r="U90" s="2"/>
      <c r="V90" s="2"/>
      <c r="W90" s="2"/>
      <c r="X90" s="2"/>
      <c r="Y90" s="2"/>
    </row>
    <row r="91" spans="1:25">
      <c r="A91" s="43" t="s">
        <v>117</v>
      </c>
      <c r="B91" s="16"/>
      <c r="D91" s="1" t="s">
        <v>117</v>
      </c>
      <c r="E91" s="22"/>
      <c r="F91" s="12" t="e">
        <f t="shared" si="3"/>
        <v>#VALUE!</v>
      </c>
      <c r="G91" s="6" t="e">
        <f t="shared" si="4"/>
        <v>#VALUE!</v>
      </c>
      <c r="H91" s="19">
        <f t="shared" si="5"/>
        <v>-272</v>
      </c>
      <c r="I91" s="25"/>
      <c r="J91" s="22"/>
      <c r="K91" s="2"/>
      <c r="T91" s="2"/>
      <c r="U91" s="2"/>
      <c r="V91" s="2"/>
      <c r="W91" s="2"/>
      <c r="X91" s="2"/>
      <c r="Y91" s="2"/>
    </row>
    <row r="92" spans="1:25">
      <c r="A92" s="43" t="s">
        <v>118</v>
      </c>
      <c r="B92" s="16"/>
      <c r="D92" s="1" t="s">
        <v>118</v>
      </c>
      <c r="E92" s="22"/>
      <c r="F92" s="12" t="e">
        <f t="shared" si="3"/>
        <v>#VALUE!</v>
      </c>
      <c r="G92" s="6" t="e">
        <f t="shared" si="4"/>
        <v>#VALUE!</v>
      </c>
      <c r="H92" s="19">
        <f t="shared" si="5"/>
        <v>-271</v>
      </c>
      <c r="I92" s="25"/>
      <c r="J92" s="22"/>
      <c r="K92" s="2"/>
      <c r="T92" s="2"/>
      <c r="U92" s="2"/>
      <c r="V92" s="2"/>
      <c r="W92" s="2"/>
      <c r="X92" s="2"/>
      <c r="Y92" s="2"/>
    </row>
    <row r="93" spans="1:25">
      <c r="A93" s="43" t="s">
        <v>119</v>
      </c>
      <c r="B93" s="16"/>
      <c r="D93" s="1" t="s">
        <v>119</v>
      </c>
      <c r="E93" s="22"/>
      <c r="F93" s="12" t="e">
        <f t="shared" si="3"/>
        <v>#VALUE!</v>
      </c>
      <c r="G93" s="6" t="e">
        <f t="shared" si="4"/>
        <v>#VALUE!</v>
      </c>
      <c r="H93" s="19">
        <f t="shared" si="5"/>
        <v>-270</v>
      </c>
      <c r="I93" s="25"/>
      <c r="J93" s="22"/>
      <c r="K93" s="2"/>
      <c r="T93" s="2"/>
      <c r="U93" s="2"/>
      <c r="V93" s="2"/>
      <c r="W93" s="2"/>
      <c r="X93" s="2"/>
      <c r="Y93" s="2"/>
    </row>
    <row r="94" spans="1:25">
      <c r="A94" s="43" t="s">
        <v>120</v>
      </c>
      <c r="B94" s="16"/>
      <c r="D94" s="1" t="s">
        <v>120</v>
      </c>
      <c r="E94" s="22"/>
      <c r="F94" s="12" t="e">
        <f t="shared" si="3"/>
        <v>#VALUE!</v>
      </c>
      <c r="G94" s="6" t="e">
        <f t="shared" si="4"/>
        <v>#VALUE!</v>
      </c>
      <c r="H94" s="19">
        <f t="shared" si="5"/>
        <v>-269</v>
      </c>
      <c r="I94" s="25"/>
      <c r="J94" s="22"/>
      <c r="K94" s="2"/>
      <c r="T94" s="2"/>
      <c r="U94" s="2"/>
      <c r="V94" s="2"/>
      <c r="W94" s="2"/>
      <c r="X94" s="2"/>
      <c r="Y94" s="2"/>
    </row>
    <row r="95" spans="1:25">
      <c r="A95" s="43" t="s">
        <v>121</v>
      </c>
      <c r="B95" s="16"/>
      <c r="D95" s="1" t="s">
        <v>121</v>
      </c>
      <c r="E95" s="22"/>
      <c r="F95" s="12" t="e">
        <f t="shared" si="3"/>
        <v>#VALUE!</v>
      </c>
      <c r="G95" s="6" t="e">
        <f t="shared" si="4"/>
        <v>#VALUE!</v>
      </c>
      <c r="H95" s="19">
        <f t="shared" si="5"/>
        <v>-268</v>
      </c>
      <c r="I95" s="25"/>
      <c r="J95" s="22"/>
      <c r="K95" s="2"/>
      <c r="T95" s="2"/>
      <c r="U95" s="2"/>
      <c r="V95" s="2"/>
      <c r="W95" s="2"/>
      <c r="X95" s="2"/>
      <c r="Y95" s="2"/>
    </row>
    <row r="96" spans="1:25">
      <c r="A96" s="43" t="s">
        <v>122</v>
      </c>
      <c r="B96" s="16"/>
      <c r="D96" s="1" t="s">
        <v>122</v>
      </c>
      <c r="E96" s="22"/>
      <c r="F96" s="12" t="e">
        <f t="shared" si="3"/>
        <v>#VALUE!</v>
      </c>
      <c r="G96" s="6" t="e">
        <f t="shared" si="4"/>
        <v>#VALUE!</v>
      </c>
      <c r="H96" s="19">
        <f t="shared" si="5"/>
        <v>-267</v>
      </c>
      <c r="I96" s="25"/>
      <c r="J96" s="2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</row>
    <row r="97" spans="1:25">
      <c r="A97" s="43" t="s">
        <v>123</v>
      </c>
      <c r="B97" s="16"/>
      <c r="D97" s="1" t="s">
        <v>123</v>
      </c>
      <c r="E97" s="22"/>
      <c r="F97" s="12" t="e">
        <f t="shared" si="3"/>
        <v>#VALUE!</v>
      </c>
      <c r="G97" s="6" t="e">
        <f t="shared" si="4"/>
        <v>#VALUE!</v>
      </c>
      <c r="H97" s="19">
        <f t="shared" si="5"/>
        <v>-266</v>
      </c>
      <c r="I97" s="25"/>
      <c r="J97" s="2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</row>
    <row r="98" spans="1:25">
      <c r="A98" s="43" t="s">
        <v>124</v>
      </c>
      <c r="B98" s="16"/>
      <c r="D98" s="1" t="s">
        <v>124</v>
      </c>
      <c r="E98" s="22"/>
      <c r="F98" s="12" t="e">
        <f t="shared" si="3"/>
        <v>#VALUE!</v>
      </c>
      <c r="G98" s="6" t="e">
        <f t="shared" si="4"/>
        <v>#VALUE!</v>
      </c>
      <c r="H98" s="19">
        <f t="shared" si="5"/>
        <v>-265</v>
      </c>
      <c r="I98" s="25"/>
      <c r="J98" s="2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</row>
    <row r="99" spans="1:25">
      <c r="A99" s="43" t="s">
        <v>125</v>
      </c>
      <c r="B99" s="16"/>
      <c r="D99" s="1" t="s">
        <v>125</v>
      </c>
      <c r="E99" s="22"/>
      <c r="F99" s="12" t="e">
        <f t="shared" si="3"/>
        <v>#VALUE!</v>
      </c>
      <c r="G99" s="6" t="e">
        <f t="shared" si="4"/>
        <v>#VALUE!</v>
      </c>
      <c r="H99" s="19">
        <f t="shared" si="5"/>
        <v>-264</v>
      </c>
      <c r="I99" s="25"/>
      <c r="J99" s="22"/>
      <c r="K99" s="2"/>
      <c r="L99" s="2"/>
      <c r="M99" s="60"/>
      <c r="N99" s="60"/>
      <c r="O99" s="60"/>
      <c r="P99" s="60"/>
      <c r="Q99" s="60"/>
      <c r="R99" s="60"/>
      <c r="S99" s="2"/>
      <c r="T99" s="2"/>
      <c r="U99" s="2"/>
      <c r="V99" s="2"/>
      <c r="W99" s="2"/>
      <c r="X99" s="2"/>
      <c r="Y99" s="2"/>
    </row>
    <row r="100" spans="1:25">
      <c r="A100" s="43" t="s">
        <v>126</v>
      </c>
      <c r="B100" s="16"/>
      <c r="D100" s="1" t="s">
        <v>126</v>
      </c>
      <c r="E100" s="22"/>
      <c r="F100" s="12" t="e">
        <f t="shared" si="3"/>
        <v>#VALUE!</v>
      </c>
      <c r="G100" s="6" t="e">
        <f t="shared" si="4"/>
        <v>#VALUE!</v>
      </c>
      <c r="H100" s="19">
        <f t="shared" si="5"/>
        <v>-263</v>
      </c>
      <c r="I100" s="25"/>
      <c r="J100" s="22"/>
      <c r="K100" s="2"/>
      <c r="L100" s="2"/>
      <c r="M100" s="60"/>
      <c r="N100" s="60"/>
      <c r="O100" s="60"/>
      <c r="P100" s="60"/>
      <c r="Q100" s="60"/>
      <c r="R100" s="60"/>
      <c r="S100" s="2"/>
      <c r="T100" s="2"/>
      <c r="U100" s="2"/>
      <c r="V100" s="2"/>
      <c r="W100" s="2"/>
      <c r="X100" s="2"/>
      <c r="Y100" s="2"/>
    </row>
    <row r="101" spans="1:25">
      <c r="A101" s="43" t="s">
        <v>127</v>
      </c>
      <c r="B101" s="16"/>
      <c r="D101" s="1" t="s">
        <v>127</v>
      </c>
      <c r="E101" s="22"/>
      <c r="F101" s="12" t="e">
        <f t="shared" si="3"/>
        <v>#VALUE!</v>
      </c>
      <c r="G101" s="6" t="e">
        <f t="shared" si="4"/>
        <v>#VALUE!</v>
      </c>
      <c r="H101" s="19">
        <f t="shared" si="5"/>
        <v>-262</v>
      </c>
      <c r="I101" s="25"/>
      <c r="J101" s="22"/>
      <c r="K101" s="2"/>
      <c r="M101" s="51"/>
      <c r="N101" s="51"/>
      <c r="O101" s="51"/>
      <c r="P101" s="51"/>
      <c r="Q101" s="51"/>
      <c r="R101" s="51"/>
      <c r="T101" s="2"/>
      <c r="U101" s="2"/>
      <c r="V101" s="2"/>
      <c r="W101" s="2"/>
      <c r="X101" s="2"/>
      <c r="Y101" s="2"/>
    </row>
    <row r="102" spans="1:25">
      <c r="A102" s="43" t="s">
        <v>128</v>
      </c>
      <c r="B102" s="16"/>
      <c r="D102" s="1" t="s">
        <v>128</v>
      </c>
      <c r="E102" s="22"/>
      <c r="F102" s="12" t="e">
        <f t="shared" si="3"/>
        <v>#VALUE!</v>
      </c>
      <c r="G102" s="6" t="e">
        <f t="shared" si="4"/>
        <v>#VALUE!</v>
      </c>
      <c r="H102" s="19">
        <f t="shared" si="5"/>
        <v>-261</v>
      </c>
      <c r="I102" s="25"/>
      <c r="J102" s="22"/>
      <c r="K102" s="2"/>
      <c r="M102" s="51"/>
      <c r="N102" s="51"/>
      <c r="O102" s="51"/>
      <c r="P102" s="51"/>
      <c r="Q102" s="51"/>
      <c r="R102" s="51"/>
      <c r="T102" s="2"/>
      <c r="U102" s="2"/>
      <c r="V102" s="2"/>
      <c r="W102" s="2"/>
      <c r="X102" s="2"/>
      <c r="Y102" s="2"/>
    </row>
    <row r="103" spans="1:25">
      <c r="A103" s="43" t="s">
        <v>129</v>
      </c>
      <c r="B103" s="16"/>
      <c r="D103" s="1" t="s">
        <v>129</v>
      </c>
      <c r="E103" s="22"/>
      <c r="F103" s="12" t="e">
        <f t="shared" si="3"/>
        <v>#VALUE!</v>
      </c>
      <c r="G103" s="6" t="e">
        <f t="shared" si="4"/>
        <v>#VALUE!</v>
      </c>
      <c r="H103" s="19">
        <f t="shared" si="5"/>
        <v>-260</v>
      </c>
      <c r="I103" s="25"/>
      <c r="J103" s="22"/>
      <c r="K103" s="2"/>
      <c r="M103" s="51"/>
      <c r="N103" s="51"/>
      <c r="O103" s="51"/>
      <c r="P103" s="51"/>
      <c r="Q103" s="51"/>
      <c r="R103" s="51"/>
      <c r="T103" s="2"/>
      <c r="U103" s="2"/>
      <c r="V103" s="2"/>
      <c r="W103" s="2"/>
      <c r="X103" s="2"/>
      <c r="Y103" s="2"/>
    </row>
    <row r="104" spans="1:25">
      <c r="A104" s="43" t="s">
        <v>130</v>
      </c>
      <c r="B104" s="16"/>
      <c r="D104" s="1" t="s">
        <v>130</v>
      </c>
      <c r="E104" s="22"/>
      <c r="F104" s="12" t="e">
        <f t="shared" si="3"/>
        <v>#VALUE!</v>
      </c>
      <c r="G104" s="6" t="e">
        <f t="shared" si="4"/>
        <v>#VALUE!</v>
      </c>
      <c r="H104" s="19">
        <f t="shared" si="5"/>
        <v>-259</v>
      </c>
      <c r="I104" s="25"/>
      <c r="J104" s="22"/>
      <c r="K104" s="2"/>
      <c r="M104" s="51"/>
      <c r="N104" s="51"/>
      <c r="O104" s="51"/>
      <c r="P104" s="51"/>
      <c r="Q104" s="51"/>
      <c r="R104" s="51"/>
      <c r="T104" s="2"/>
      <c r="U104" s="2"/>
      <c r="V104" s="2"/>
      <c r="W104" s="2"/>
      <c r="X104" s="2"/>
      <c r="Y104" s="2"/>
    </row>
    <row r="105" spans="1:25">
      <c r="A105" s="43" t="s">
        <v>131</v>
      </c>
      <c r="B105" s="16"/>
      <c r="D105" s="1" t="s">
        <v>131</v>
      </c>
      <c r="E105" s="22"/>
      <c r="F105" s="12" t="e">
        <f t="shared" si="3"/>
        <v>#VALUE!</v>
      </c>
      <c r="G105" s="6" t="e">
        <f t="shared" si="4"/>
        <v>#VALUE!</v>
      </c>
      <c r="H105" s="19">
        <f t="shared" si="5"/>
        <v>-258</v>
      </c>
      <c r="I105" s="25"/>
      <c r="J105" s="22"/>
      <c r="K105" s="2"/>
      <c r="M105" s="51"/>
      <c r="N105" s="51"/>
      <c r="O105" s="51"/>
      <c r="P105" s="51"/>
      <c r="Q105" s="51"/>
      <c r="R105" s="51"/>
      <c r="T105" s="2"/>
      <c r="U105" s="2"/>
      <c r="V105" s="2"/>
      <c r="W105" s="2"/>
      <c r="X105" s="2"/>
      <c r="Y105" s="2"/>
    </row>
    <row r="106" spans="1:25">
      <c r="A106" s="43" t="s">
        <v>132</v>
      </c>
      <c r="B106" s="16"/>
      <c r="D106" s="1" t="s">
        <v>132</v>
      </c>
      <c r="E106" s="22"/>
      <c r="F106" s="12" t="e">
        <f t="shared" si="3"/>
        <v>#VALUE!</v>
      </c>
      <c r="G106" s="6" t="e">
        <f t="shared" si="4"/>
        <v>#VALUE!</v>
      </c>
      <c r="H106" s="19">
        <f t="shared" si="5"/>
        <v>-257</v>
      </c>
      <c r="I106" s="25"/>
      <c r="J106" s="22"/>
      <c r="K106" s="2"/>
      <c r="M106" s="51"/>
      <c r="N106" s="51"/>
      <c r="O106" s="51"/>
      <c r="P106" s="51"/>
      <c r="Q106" s="51"/>
      <c r="R106" s="51"/>
      <c r="T106" s="2"/>
      <c r="U106" s="2"/>
      <c r="V106" s="2"/>
      <c r="W106" s="2"/>
      <c r="X106" s="2"/>
      <c r="Y106" s="2"/>
    </row>
    <row r="107" spans="1:25">
      <c r="A107" s="43" t="s">
        <v>133</v>
      </c>
      <c r="B107" s="16"/>
      <c r="D107" s="1" t="s">
        <v>133</v>
      </c>
      <c r="E107" s="22"/>
      <c r="F107" s="12" t="e">
        <f t="shared" si="3"/>
        <v>#VALUE!</v>
      </c>
      <c r="G107" s="6" t="e">
        <f t="shared" si="4"/>
        <v>#VALUE!</v>
      </c>
      <c r="H107" s="19">
        <f t="shared" si="5"/>
        <v>-256</v>
      </c>
      <c r="I107" s="25"/>
      <c r="J107" s="22"/>
      <c r="K107" s="2"/>
      <c r="L107" s="52"/>
      <c r="M107" s="53" t="s">
        <v>19</v>
      </c>
      <c r="N107" s="53"/>
      <c r="O107" s="53"/>
      <c r="P107" s="53"/>
      <c r="Q107" s="53"/>
      <c r="R107" s="53"/>
      <c r="S107" s="54" t="s">
        <v>18</v>
      </c>
      <c r="T107" s="55"/>
      <c r="U107" s="2"/>
      <c r="V107" s="2"/>
      <c r="W107" s="2"/>
      <c r="X107" s="2"/>
      <c r="Y107" s="2"/>
    </row>
    <row r="108" spans="1:25">
      <c r="A108" s="43" t="s">
        <v>134</v>
      </c>
      <c r="B108" s="16"/>
      <c r="D108" s="1" t="s">
        <v>134</v>
      </c>
      <c r="E108" s="22"/>
      <c r="F108" s="12" t="e">
        <f t="shared" si="3"/>
        <v>#VALUE!</v>
      </c>
      <c r="G108" s="6" t="e">
        <f t="shared" si="4"/>
        <v>#VALUE!</v>
      </c>
      <c r="H108" s="19">
        <f t="shared" si="5"/>
        <v>-255</v>
      </c>
      <c r="I108" s="25"/>
      <c r="J108" s="22"/>
      <c r="K108" s="2"/>
      <c r="L108" s="2"/>
      <c r="M108" s="132"/>
      <c r="N108" s="132"/>
      <c r="O108" s="132"/>
      <c r="P108" s="132"/>
      <c r="Q108" s="132"/>
      <c r="R108" s="132"/>
      <c r="S108" s="2"/>
      <c r="T108" s="2"/>
      <c r="U108" s="2"/>
      <c r="V108" s="2"/>
      <c r="W108" s="2"/>
      <c r="X108" s="2"/>
      <c r="Y108" s="2"/>
    </row>
    <row r="109" spans="1:25">
      <c r="A109" s="43" t="s">
        <v>135</v>
      </c>
      <c r="B109" s="16"/>
      <c r="D109" s="1" t="s">
        <v>135</v>
      </c>
      <c r="E109" s="22"/>
      <c r="F109" s="12" t="e">
        <f t="shared" si="3"/>
        <v>#VALUE!</v>
      </c>
      <c r="G109" s="6" t="e">
        <f t="shared" si="4"/>
        <v>#VALUE!</v>
      </c>
      <c r="H109" s="19">
        <f t="shared" si="5"/>
        <v>-254</v>
      </c>
      <c r="I109" s="25"/>
      <c r="J109" s="22"/>
      <c r="K109" s="2"/>
      <c r="L109" s="2"/>
      <c r="M109" s="132"/>
      <c r="N109" s="132"/>
      <c r="O109" s="132"/>
      <c r="P109" s="132"/>
      <c r="Q109" s="132"/>
      <c r="R109" s="132"/>
      <c r="S109" s="2"/>
      <c r="T109" s="2"/>
      <c r="U109" s="2"/>
      <c r="V109" s="2"/>
      <c r="W109" s="2"/>
      <c r="X109" s="2"/>
      <c r="Y109" s="2"/>
    </row>
    <row r="110" spans="1:25">
      <c r="A110" s="43" t="s">
        <v>136</v>
      </c>
      <c r="B110" s="16"/>
      <c r="D110" s="1" t="s">
        <v>136</v>
      </c>
      <c r="E110" s="22"/>
      <c r="F110" s="12" t="e">
        <f t="shared" si="3"/>
        <v>#VALUE!</v>
      </c>
      <c r="G110" s="6" t="e">
        <f t="shared" si="4"/>
        <v>#VALUE!</v>
      </c>
      <c r="H110" s="19">
        <f t="shared" si="5"/>
        <v>-253</v>
      </c>
      <c r="I110" s="25"/>
      <c r="J110" s="22"/>
      <c r="K110" s="90"/>
      <c r="L110" s="137" t="s">
        <v>20</v>
      </c>
      <c r="M110" s="137"/>
      <c r="N110" s="137"/>
      <c r="O110" s="137"/>
      <c r="P110" s="105"/>
      <c r="Q110" s="79"/>
      <c r="R110" s="92"/>
      <c r="S110" s="93"/>
      <c r="T110" s="94"/>
      <c r="U110" s="2"/>
      <c r="V110" s="2"/>
      <c r="W110" s="2"/>
      <c r="X110" s="2"/>
      <c r="Y110" s="2"/>
    </row>
    <row r="111" spans="1:25">
      <c r="A111" s="43" t="s">
        <v>137</v>
      </c>
      <c r="B111" s="16"/>
      <c r="D111" s="1" t="s">
        <v>137</v>
      </c>
      <c r="E111" s="22"/>
      <c r="F111" s="12" t="e">
        <f t="shared" si="3"/>
        <v>#VALUE!</v>
      </c>
      <c r="G111" s="6" t="e">
        <f t="shared" si="4"/>
        <v>#VALUE!</v>
      </c>
      <c r="H111" s="19">
        <f t="shared" si="5"/>
        <v>-252</v>
      </c>
      <c r="I111" s="25"/>
      <c r="J111" s="22"/>
      <c r="K111" s="73"/>
      <c r="L111" s="138" t="s">
        <v>398</v>
      </c>
      <c r="M111" s="139"/>
      <c r="N111" s="139"/>
      <c r="O111" s="140"/>
      <c r="P111" s="79">
        <v>90</v>
      </c>
      <c r="Q111" s="79" t="s">
        <v>21</v>
      </c>
      <c r="R111" s="92">
        <f>(P64/2)-P65</f>
        <v>0</v>
      </c>
      <c r="S111" s="73"/>
      <c r="T111" s="75"/>
      <c r="U111" s="2"/>
      <c r="V111" s="2"/>
      <c r="W111" s="2"/>
      <c r="X111" s="2"/>
      <c r="Y111" s="2"/>
    </row>
    <row r="112" spans="1:25">
      <c r="A112" s="43" t="s">
        <v>138</v>
      </c>
      <c r="B112" s="16"/>
      <c r="D112" s="1" t="s">
        <v>138</v>
      </c>
      <c r="E112" s="22"/>
      <c r="F112" s="12" t="e">
        <f t="shared" si="3"/>
        <v>#VALUE!</v>
      </c>
      <c r="G112" s="6" t="e">
        <f t="shared" si="4"/>
        <v>#VALUE!</v>
      </c>
      <c r="H112" s="19">
        <f t="shared" si="5"/>
        <v>-251</v>
      </c>
      <c r="I112" s="25"/>
      <c r="J112" s="22"/>
      <c r="K112" s="73"/>
      <c r="L112" s="138" t="s">
        <v>22</v>
      </c>
      <c r="M112" s="139"/>
      <c r="N112" s="139"/>
      <c r="O112" s="140"/>
      <c r="P112" s="79">
        <f>(O64/2)-90-P116</f>
        <v>-90</v>
      </c>
      <c r="Q112" s="79" t="s">
        <v>23</v>
      </c>
      <c r="R112" s="92">
        <f>360-(R111+R113+R114+R115+R116)</f>
        <v>360</v>
      </c>
      <c r="S112" s="73"/>
      <c r="T112" s="75"/>
      <c r="U112" s="2"/>
      <c r="V112" s="2"/>
      <c r="W112" s="2"/>
      <c r="X112" s="2"/>
      <c r="Y112" s="2"/>
    </row>
    <row r="113" spans="1:25">
      <c r="A113" s="43" t="s">
        <v>139</v>
      </c>
      <c r="B113" s="16"/>
      <c r="D113" s="1" t="s">
        <v>139</v>
      </c>
      <c r="E113" s="22"/>
      <c r="F113" s="12" t="e">
        <f t="shared" si="3"/>
        <v>#VALUE!</v>
      </c>
      <c r="G113" s="6" t="e">
        <f t="shared" si="4"/>
        <v>#VALUE!</v>
      </c>
      <c r="H113" s="19">
        <f t="shared" si="5"/>
        <v>-250</v>
      </c>
      <c r="I113" s="25"/>
      <c r="J113" s="22"/>
      <c r="K113" s="73"/>
      <c r="L113" s="138" t="s">
        <v>24</v>
      </c>
      <c r="M113" s="139"/>
      <c r="N113" s="139"/>
      <c r="O113" s="140"/>
      <c r="P113" s="79">
        <f>90-P112</f>
        <v>180</v>
      </c>
      <c r="Q113" s="79" t="s">
        <v>24</v>
      </c>
      <c r="R113" s="92">
        <f>(P64/2)-90+R115</f>
        <v>-180</v>
      </c>
      <c r="S113" s="73"/>
      <c r="T113" s="75"/>
      <c r="U113" s="2"/>
      <c r="V113" s="2"/>
      <c r="W113" s="2"/>
      <c r="X113" s="2"/>
      <c r="Y113" s="2"/>
    </row>
    <row r="114" spans="1:25">
      <c r="A114" s="43" t="s">
        <v>140</v>
      </c>
      <c r="B114" s="16"/>
      <c r="D114" s="1" t="s">
        <v>140</v>
      </c>
      <c r="E114" s="22"/>
      <c r="F114" s="12" t="e">
        <f t="shared" si="3"/>
        <v>#VALUE!</v>
      </c>
      <c r="G114" s="6" t="e">
        <f t="shared" si="4"/>
        <v>#VALUE!</v>
      </c>
      <c r="H114" s="19">
        <f t="shared" si="5"/>
        <v>-249</v>
      </c>
      <c r="I114" s="25"/>
      <c r="J114" s="22"/>
      <c r="K114" s="73"/>
      <c r="L114" s="138" t="s">
        <v>25</v>
      </c>
      <c r="M114" s="139"/>
      <c r="N114" s="139"/>
      <c r="O114" s="140"/>
      <c r="P114" s="79">
        <f>(O64/2)-90+P112</f>
        <v>-180</v>
      </c>
      <c r="Q114" s="79" t="s">
        <v>25</v>
      </c>
      <c r="R114" s="92">
        <f>180-P65</f>
        <v>180</v>
      </c>
      <c r="S114" s="73"/>
      <c r="T114" s="75"/>
      <c r="U114" s="2"/>
      <c r="V114" s="2"/>
      <c r="W114" s="2"/>
      <c r="X114" s="2"/>
      <c r="Y114" s="2"/>
    </row>
    <row r="115" spans="1:25">
      <c r="A115" s="43" t="s">
        <v>141</v>
      </c>
      <c r="B115" s="16"/>
      <c r="D115" s="1" t="s">
        <v>141</v>
      </c>
      <c r="E115" s="22"/>
      <c r="F115" s="12" t="e">
        <f t="shared" si="3"/>
        <v>#VALUE!</v>
      </c>
      <c r="G115" s="6" t="e">
        <f t="shared" si="4"/>
        <v>#VALUE!</v>
      </c>
      <c r="H115" s="19">
        <f t="shared" si="5"/>
        <v>-248</v>
      </c>
      <c r="I115" s="25"/>
      <c r="J115" s="22"/>
      <c r="K115" s="73"/>
      <c r="L115" s="138" t="s">
        <v>23</v>
      </c>
      <c r="M115" s="139"/>
      <c r="N115" s="139"/>
      <c r="O115" s="140"/>
      <c r="P115" s="79">
        <f>360-(P111+P112+P113+P114+P116)</f>
        <v>360</v>
      </c>
      <c r="Q115" s="79" t="s">
        <v>22</v>
      </c>
      <c r="R115" s="92">
        <f>P65-R116</f>
        <v>-90</v>
      </c>
      <c r="S115" s="73"/>
      <c r="T115" s="75"/>
      <c r="U115" s="2"/>
      <c r="V115" s="2"/>
      <c r="W115" s="2"/>
      <c r="X115" s="2"/>
      <c r="Y115" s="2"/>
    </row>
    <row r="116" spans="1:25">
      <c r="A116" s="43" t="s">
        <v>142</v>
      </c>
      <c r="B116" s="16"/>
      <c r="D116" s="1" t="s">
        <v>142</v>
      </c>
      <c r="E116" s="22"/>
      <c r="F116" s="12" t="e">
        <f t="shared" si="3"/>
        <v>#VALUE!</v>
      </c>
      <c r="G116" s="6" t="e">
        <f t="shared" si="4"/>
        <v>#VALUE!</v>
      </c>
      <c r="H116" s="19">
        <f t="shared" si="5"/>
        <v>-247</v>
      </c>
      <c r="I116" s="25"/>
      <c r="J116" s="22"/>
      <c r="K116" s="73"/>
      <c r="L116" s="138" t="s">
        <v>26</v>
      </c>
      <c r="M116" s="139"/>
      <c r="N116" s="139"/>
      <c r="O116" s="140"/>
      <c r="P116" s="79">
        <f>(O64/2)-O65</f>
        <v>0</v>
      </c>
      <c r="Q116" s="79" t="s">
        <v>26</v>
      </c>
      <c r="R116" s="92">
        <v>90</v>
      </c>
      <c r="S116" s="73"/>
      <c r="T116" s="75"/>
      <c r="U116" s="2"/>
      <c r="V116" s="2"/>
      <c r="W116" s="2"/>
      <c r="X116" s="2"/>
      <c r="Y116" s="2"/>
    </row>
    <row r="117" spans="1:25">
      <c r="A117" s="43" t="s">
        <v>143</v>
      </c>
      <c r="B117" s="16"/>
      <c r="D117" s="1" t="s">
        <v>143</v>
      </c>
      <c r="E117" s="22"/>
      <c r="F117" s="12" t="e">
        <f t="shared" si="3"/>
        <v>#VALUE!</v>
      </c>
      <c r="G117" s="6" t="e">
        <f t="shared" si="4"/>
        <v>#VALUE!</v>
      </c>
      <c r="H117" s="19">
        <f t="shared" si="5"/>
        <v>-246</v>
      </c>
      <c r="I117" s="25"/>
      <c r="J117" s="22"/>
      <c r="K117" s="76"/>
      <c r="L117" s="106"/>
      <c r="M117" s="107"/>
      <c r="N117" s="107"/>
      <c r="O117" s="108"/>
      <c r="P117" s="79">
        <f>SUM(P111:P116)</f>
        <v>360</v>
      </c>
      <c r="Q117" s="80"/>
      <c r="R117" s="92">
        <f>SUM(R111:R116)</f>
        <v>360</v>
      </c>
      <c r="S117" s="76"/>
      <c r="T117" s="78"/>
      <c r="U117" s="2"/>
      <c r="V117" s="2"/>
      <c r="W117" s="2"/>
      <c r="X117" s="2"/>
      <c r="Y117" s="2"/>
    </row>
    <row r="118" spans="1:25">
      <c r="A118" s="43" t="s">
        <v>144</v>
      </c>
      <c r="B118" s="16"/>
      <c r="D118" s="1" t="s">
        <v>144</v>
      </c>
      <c r="E118" s="22"/>
      <c r="F118" s="12" t="e">
        <f t="shared" si="3"/>
        <v>#VALUE!</v>
      </c>
      <c r="G118" s="6" t="e">
        <f t="shared" si="4"/>
        <v>#VALUE!</v>
      </c>
      <c r="H118" s="19">
        <f t="shared" si="5"/>
        <v>-245</v>
      </c>
      <c r="I118" s="25"/>
      <c r="J118" s="2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</row>
    <row r="119" spans="1:25">
      <c r="A119" s="43" t="s">
        <v>145</v>
      </c>
      <c r="B119" s="16"/>
      <c r="D119" s="1" t="s">
        <v>145</v>
      </c>
      <c r="E119" s="22"/>
      <c r="F119" s="12" t="e">
        <f t="shared" si="3"/>
        <v>#VALUE!</v>
      </c>
      <c r="G119" s="6" t="e">
        <f t="shared" si="4"/>
        <v>#VALUE!</v>
      </c>
      <c r="H119" s="19">
        <f t="shared" si="5"/>
        <v>-244</v>
      </c>
      <c r="I119" s="25"/>
      <c r="J119" s="2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</row>
    <row r="120" spans="1:25">
      <c r="A120" s="43" t="s">
        <v>146</v>
      </c>
      <c r="B120" s="16"/>
      <c r="D120" s="1" t="s">
        <v>146</v>
      </c>
      <c r="E120" s="22"/>
      <c r="F120" s="12" t="e">
        <f t="shared" si="3"/>
        <v>#VALUE!</v>
      </c>
      <c r="G120" s="6" t="e">
        <f t="shared" si="4"/>
        <v>#VALUE!</v>
      </c>
      <c r="H120" s="19">
        <f t="shared" si="5"/>
        <v>-243</v>
      </c>
      <c r="I120" s="25"/>
      <c r="J120" s="2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</row>
    <row r="121" spans="1:25">
      <c r="A121" s="43" t="s">
        <v>147</v>
      </c>
      <c r="B121" s="16"/>
      <c r="D121" s="1" t="s">
        <v>147</v>
      </c>
      <c r="E121" s="22"/>
      <c r="F121" s="12" t="e">
        <f t="shared" si="3"/>
        <v>#VALUE!</v>
      </c>
      <c r="G121" s="6" t="e">
        <f t="shared" si="4"/>
        <v>#VALUE!</v>
      </c>
      <c r="H121" s="19">
        <f t="shared" si="5"/>
        <v>-242</v>
      </c>
      <c r="I121" s="25"/>
      <c r="J121" s="81"/>
      <c r="K121" s="70"/>
      <c r="L121" s="71"/>
      <c r="M121" s="71"/>
      <c r="N121" s="71"/>
      <c r="O121" s="71"/>
      <c r="P121" s="71"/>
      <c r="Q121" s="71"/>
      <c r="R121" s="89"/>
      <c r="S121" s="71"/>
      <c r="T121" s="72"/>
      <c r="U121" s="2"/>
      <c r="V121" s="2"/>
      <c r="W121" s="2"/>
      <c r="X121" s="2"/>
      <c r="Y121" s="2"/>
    </row>
    <row r="122" spans="1:25">
      <c r="A122" s="43" t="s">
        <v>148</v>
      </c>
      <c r="B122" s="16"/>
      <c r="D122" s="1" t="s">
        <v>148</v>
      </c>
      <c r="E122" s="22"/>
      <c r="F122" s="12" t="e">
        <f t="shared" si="3"/>
        <v>#VALUE!</v>
      </c>
      <c r="G122" s="6" t="e">
        <f t="shared" si="4"/>
        <v>#VALUE!</v>
      </c>
      <c r="H122" s="19">
        <f t="shared" si="5"/>
        <v>-241</v>
      </c>
      <c r="I122" s="25"/>
      <c r="J122" s="81"/>
      <c r="K122" s="73"/>
      <c r="L122" s="74"/>
      <c r="M122" s="74"/>
      <c r="N122" s="74"/>
      <c r="O122" s="74"/>
      <c r="P122" s="74"/>
      <c r="Q122" s="95"/>
      <c r="R122" s="91"/>
      <c r="S122" s="74"/>
      <c r="T122" s="75"/>
      <c r="U122" s="2"/>
      <c r="V122" s="2"/>
      <c r="W122" s="2"/>
      <c r="X122" s="2"/>
      <c r="Y122" s="2"/>
    </row>
    <row r="123" spans="1:25">
      <c r="A123" s="43" t="s">
        <v>149</v>
      </c>
      <c r="B123" s="16"/>
      <c r="D123" s="1" t="s">
        <v>149</v>
      </c>
      <c r="E123" s="22"/>
      <c r="F123" s="12" t="e">
        <f t="shared" si="3"/>
        <v>#VALUE!</v>
      </c>
      <c r="G123" s="6" t="e">
        <f t="shared" si="4"/>
        <v>#VALUE!</v>
      </c>
      <c r="H123" s="19">
        <f t="shared" si="5"/>
        <v>-240</v>
      </c>
      <c r="I123" s="25"/>
      <c r="J123" s="81"/>
      <c r="K123" s="73"/>
      <c r="L123" s="142" t="s">
        <v>6</v>
      </c>
      <c r="M123" s="142"/>
      <c r="N123" s="142"/>
      <c r="O123" s="142"/>
      <c r="P123" s="100"/>
      <c r="Q123" s="74"/>
      <c r="R123" s="74"/>
      <c r="S123" s="74"/>
      <c r="T123" s="75"/>
      <c r="U123" s="2"/>
      <c r="V123" s="2"/>
      <c r="W123" s="2"/>
      <c r="X123" s="2"/>
      <c r="Y123" s="2"/>
    </row>
    <row r="124" spans="1:25">
      <c r="A124" s="43" t="s">
        <v>150</v>
      </c>
      <c r="B124" s="16"/>
      <c r="D124" s="1" t="s">
        <v>150</v>
      </c>
      <c r="E124" s="22"/>
      <c r="F124" s="12" t="e">
        <f t="shared" si="3"/>
        <v>#VALUE!</v>
      </c>
      <c r="G124" s="6" t="e">
        <f t="shared" si="4"/>
        <v>#VALUE!</v>
      </c>
      <c r="H124" s="19">
        <f t="shared" si="5"/>
        <v>-239</v>
      </c>
      <c r="I124" s="25"/>
      <c r="J124" s="81"/>
      <c r="K124" s="73"/>
      <c r="L124" s="142" t="s">
        <v>7</v>
      </c>
      <c r="M124" s="142"/>
      <c r="N124" s="142"/>
      <c r="O124" s="142"/>
      <c r="P124" s="100"/>
      <c r="Q124" s="74"/>
      <c r="R124" s="74"/>
      <c r="S124" s="74"/>
      <c r="T124" s="75"/>
      <c r="U124" s="2"/>
      <c r="V124" s="2"/>
      <c r="W124" s="2"/>
      <c r="X124" s="2"/>
      <c r="Y124" s="2"/>
    </row>
    <row r="125" spans="1:25">
      <c r="A125" s="43" t="s">
        <v>151</v>
      </c>
      <c r="B125" s="16"/>
      <c r="D125" s="1" t="s">
        <v>151</v>
      </c>
      <c r="E125" s="22"/>
      <c r="F125" s="12" t="e">
        <f t="shared" si="3"/>
        <v>#VALUE!</v>
      </c>
      <c r="G125" s="6" t="e">
        <f t="shared" si="4"/>
        <v>#VALUE!</v>
      </c>
      <c r="H125" s="19">
        <f t="shared" si="5"/>
        <v>-238</v>
      </c>
      <c r="I125" s="25"/>
      <c r="J125" s="81"/>
      <c r="K125" s="73"/>
      <c r="L125" s="142" t="s">
        <v>8</v>
      </c>
      <c r="M125" s="142"/>
      <c r="N125" s="142"/>
      <c r="O125" s="142"/>
      <c r="P125" s="100"/>
      <c r="Q125" s="74"/>
      <c r="R125" s="74"/>
      <c r="S125" s="74"/>
      <c r="T125" s="75"/>
      <c r="U125" s="2"/>
      <c r="V125" s="2"/>
      <c r="W125" s="2"/>
      <c r="X125" s="2"/>
      <c r="Y125" s="2"/>
    </row>
    <row r="126" spans="1:25">
      <c r="A126" s="43" t="s">
        <v>152</v>
      </c>
      <c r="B126" s="16"/>
      <c r="D126" s="1" t="s">
        <v>152</v>
      </c>
      <c r="E126" s="22"/>
      <c r="F126" s="12" t="e">
        <f t="shared" si="3"/>
        <v>#VALUE!</v>
      </c>
      <c r="G126" s="6" t="e">
        <f t="shared" si="4"/>
        <v>#VALUE!</v>
      </c>
      <c r="H126" s="19">
        <f t="shared" si="5"/>
        <v>-237</v>
      </c>
      <c r="I126" s="25"/>
      <c r="J126" s="81"/>
      <c r="K126" s="73"/>
      <c r="L126" s="142" t="s">
        <v>9</v>
      </c>
      <c r="M126" s="142"/>
      <c r="N126" s="142"/>
      <c r="O126" s="142"/>
      <c r="P126" s="99">
        <v>0</v>
      </c>
      <c r="Q126" s="74"/>
      <c r="R126" s="74"/>
      <c r="S126" s="74"/>
      <c r="T126" s="75"/>
      <c r="U126" s="2"/>
      <c r="V126" s="2"/>
      <c r="W126" s="2"/>
      <c r="X126" s="2"/>
      <c r="Y126" s="2"/>
    </row>
    <row r="127" spans="1:25">
      <c r="A127" s="43" t="s">
        <v>153</v>
      </c>
      <c r="B127" s="16"/>
      <c r="D127" s="1" t="s">
        <v>153</v>
      </c>
      <c r="E127" s="22"/>
      <c r="F127" s="12" t="e">
        <f t="shared" si="3"/>
        <v>#VALUE!</v>
      </c>
      <c r="G127" s="6" t="e">
        <f t="shared" si="4"/>
        <v>#VALUE!</v>
      </c>
      <c r="H127" s="19">
        <f t="shared" si="5"/>
        <v>-236</v>
      </c>
      <c r="I127" s="25"/>
      <c r="J127" s="81"/>
      <c r="K127" s="73"/>
      <c r="L127" s="143"/>
      <c r="M127" s="143"/>
      <c r="N127" s="143"/>
      <c r="O127" s="143"/>
      <c r="P127" s="91"/>
      <c r="Q127" s="95"/>
      <c r="R127" s="74"/>
      <c r="S127" s="74"/>
      <c r="T127" s="75"/>
      <c r="U127" s="2"/>
      <c r="V127" s="2"/>
      <c r="W127" s="2"/>
      <c r="X127" s="2"/>
      <c r="Y127" s="2"/>
    </row>
    <row r="128" spans="1:25">
      <c r="A128" s="43" t="s">
        <v>154</v>
      </c>
      <c r="B128" s="16"/>
      <c r="D128" s="1" t="s">
        <v>154</v>
      </c>
      <c r="E128" s="22"/>
      <c r="F128" s="12" t="e">
        <f t="shared" si="3"/>
        <v>#VALUE!</v>
      </c>
      <c r="G128" s="6" t="e">
        <f t="shared" si="4"/>
        <v>#VALUE!</v>
      </c>
      <c r="H128" s="19">
        <f t="shared" si="5"/>
        <v>-235</v>
      </c>
      <c r="I128" s="25"/>
      <c r="J128" s="81"/>
      <c r="K128" s="73"/>
      <c r="L128" s="142" t="s">
        <v>10</v>
      </c>
      <c r="M128" s="142"/>
      <c r="N128" s="142"/>
      <c r="O128" s="142"/>
      <c r="P128" s="103">
        <f>-(P125-P126-P123/2)</f>
        <v>0</v>
      </c>
      <c r="Q128" s="74"/>
      <c r="R128" s="74"/>
      <c r="S128" s="74"/>
      <c r="T128" s="75"/>
      <c r="U128" s="2"/>
      <c r="V128" s="2"/>
      <c r="W128" s="2"/>
      <c r="X128" s="2"/>
      <c r="Y128" s="2"/>
    </row>
    <row r="129" spans="1:25">
      <c r="A129" s="43" t="s">
        <v>155</v>
      </c>
      <c r="B129" s="16"/>
      <c r="D129" s="1" t="s">
        <v>155</v>
      </c>
      <c r="E129" s="22"/>
      <c r="F129" s="12" t="e">
        <f t="shared" si="3"/>
        <v>#VALUE!</v>
      </c>
      <c r="G129" s="6" t="e">
        <f t="shared" si="4"/>
        <v>#VALUE!</v>
      </c>
      <c r="H129" s="19">
        <f t="shared" si="5"/>
        <v>-234</v>
      </c>
      <c r="I129" s="25"/>
      <c r="J129" s="81"/>
      <c r="K129" s="73"/>
      <c r="L129" s="142" t="s">
        <v>399</v>
      </c>
      <c r="M129" s="142"/>
      <c r="N129" s="142"/>
      <c r="O129" s="142"/>
      <c r="P129" s="104">
        <f>P125-P126+P123/2-180</f>
        <v>-180</v>
      </c>
      <c r="Q129" s="74"/>
      <c r="R129" s="74"/>
      <c r="S129" s="74"/>
      <c r="T129" s="75"/>
      <c r="U129" s="2"/>
      <c r="V129" s="2"/>
      <c r="W129" s="2"/>
      <c r="X129" s="2"/>
      <c r="Y129" s="2"/>
    </row>
    <row r="130" spans="1:25">
      <c r="A130" s="43" t="s">
        <v>156</v>
      </c>
      <c r="B130" s="16"/>
      <c r="D130" s="1" t="s">
        <v>156</v>
      </c>
      <c r="E130" s="22"/>
      <c r="F130" s="12" t="e">
        <f t="shared" si="3"/>
        <v>#VALUE!</v>
      </c>
      <c r="G130" s="6" t="e">
        <f t="shared" si="4"/>
        <v>#VALUE!</v>
      </c>
      <c r="H130" s="19">
        <f t="shared" si="5"/>
        <v>-233</v>
      </c>
      <c r="I130" s="25"/>
      <c r="J130" s="81"/>
      <c r="K130" s="73"/>
      <c r="L130" s="142" t="s">
        <v>11</v>
      </c>
      <c r="M130" s="142"/>
      <c r="N130" s="142"/>
      <c r="O130" s="142"/>
      <c r="P130" s="104">
        <f>P125+P126+P124/2-180</f>
        <v>-180</v>
      </c>
      <c r="Q130" s="96"/>
      <c r="R130" s="74"/>
      <c r="S130" s="74"/>
      <c r="T130" s="75"/>
      <c r="U130" s="2"/>
      <c r="V130" s="2"/>
      <c r="W130" s="2"/>
      <c r="X130" s="2"/>
      <c r="Y130" s="2"/>
    </row>
    <row r="131" spans="1:25">
      <c r="A131" s="43" t="s">
        <v>157</v>
      </c>
      <c r="B131" s="16"/>
      <c r="D131" s="1" t="s">
        <v>157</v>
      </c>
      <c r="E131" s="22"/>
      <c r="F131" s="12" t="e">
        <f t="shared" si="3"/>
        <v>#VALUE!</v>
      </c>
      <c r="G131" s="6" t="e">
        <f t="shared" si="4"/>
        <v>#VALUE!</v>
      </c>
      <c r="H131" s="19">
        <f t="shared" si="5"/>
        <v>-232</v>
      </c>
      <c r="I131" s="25"/>
      <c r="J131" s="81"/>
      <c r="K131" s="73"/>
      <c r="L131" s="142" t="s">
        <v>12</v>
      </c>
      <c r="M131" s="142"/>
      <c r="N131" s="142"/>
      <c r="O131" s="142"/>
      <c r="P131" s="104">
        <f>-(P125+P126-P124/2)</f>
        <v>0</v>
      </c>
      <c r="Q131" s="96"/>
      <c r="R131" s="74"/>
      <c r="S131" s="74"/>
      <c r="T131" s="75"/>
      <c r="U131" s="2"/>
      <c r="V131" s="2"/>
      <c r="W131" s="2"/>
      <c r="X131" s="2"/>
      <c r="Y131" s="2"/>
    </row>
    <row r="132" spans="1:25">
      <c r="A132" s="43" t="s">
        <v>158</v>
      </c>
      <c r="B132" s="16"/>
      <c r="D132" s="1" t="s">
        <v>158</v>
      </c>
      <c r="E132" s="22"/>
      <c r="F132" s="12" t="e">
        <f t="shared" ref="F132:F133" si="6">SUBSTITUTE(B132,".",",")*100/100</f>
        <v>#VALUE!</v>
      </c>
      <c r="G132" s="6" t="e">
        <f t="shared" ref="G132:G195" si="7">SUBSTITUTE(E132,".",",")*100/100</f>
        <v>#VALUE!</v>
      </c>
      <c r="H132" s="19">
        <f t="shared" si="5"/>
        <v>-231</v>
      </c>
      <c r="I132" s="25"/>
      <c r="J132" s="81"/>
      <c r="K132" s="73"/>
      <c r="L132" s="142" t="s">
        <v>13</v>
      </c>
      <c r="M132" s="142"/>
      <c r="N132" s="142"/>
      <c r="O132" s="142"/>
      <c r="P132" s="104">
        <f>P125-P126</f>
        <v>0</v>
      </c>
      <c r="Q132" s="74"/>
      <c r="R132" s="74"/>
      <c r="S132" s="74"/>
      <c r="T132" s="75"/>
      <c r="U132" s="2"/>
      <c r="V132" s="2"/>
      <c r="W132" s="2"/>
      <c r="X132" s="2"/>
      <c r="Y132" s="2"/>
    </row>
    <row r="133" spans="1:25">
      <c r="A133" s="43" t="s">
        <v>159</v>
      </c>
      <c r="B133" s="16"/>
      <c r="D133" s="1" t="s">
        <v>159</v>
      </c>
      <c r="E133" s="22"/>
      <c r="F133" s="12" t="e">
        <f t="shared" si="6"/>
        <v>#VALUE!</v>
      </c>
      <c r="G133" s="6" t="e">
        <f t="shared" si="7"/>
        <v>#VALUE!</v>
      </c>
      <c r="H133" s="19">
        <f t="shared" ref="H133:H196" si="8">H132+1</f>
        <v>-230</v>
      </c>
      <c r="I133" s="25"/>
      <c r="J133" s="81"/>
      <c r="K133" s="73"/>
      <c r="L133" s="142" t="s">
        <v>14</v>
      </c>
      <c r="M133" s="142"/>
      <c r="N133" s="142"/>
      <c r="O133" s="142"/>
      <c r="P133" s="104">
        <f>P125+P126</f>
        <v>0</v>
      </c>
      <c r="Q133" s="74"/>
      <c r="R133" s="74"/>
      <c r="S133" s="74"/>
      <c r="T133" s="75"/>
      <c r="U133" s="2"/>
      <c r="V133" s="2"/>
      <c r="W133" s="2"/>
      <c r="X133" s="2"/>
      <c r="Y133" s="2"/>
    </row>
    <row r="134" spans="1:25">
      <c r="A134" s="43" t="s">
        <v>160</v>
      </c>
      <c r="B134" s="16"/>
      <c r="D134" s="1" t="s">
        <v>160</v>
      </c>
      <c r="E134" s="22"/>
      <c r="F134" s="12" t="e">
        <f>SUBSTITUTE(B134,".",",")*100/100</f>
        <v>#VALUE!</v>
      </c>
      <c r="G134" s="6" t="e">
        <f t="shared" si="7"/>
        <v>#VALUE!</v>
      </c>
      <c r="H134" s="19">
        <f t="shared" si="8"/>
        <v>-229</v>
      </c>
      <c r="I134" s="25"/>
      <c r="J134" s="81"/>
      <c r="K134" s="73"/>
      <c r="L134" s="142" t="s">
        <v>15</v>
      </c>
      <c r="M134" s="142"/>
      <c r="N134" s="142"/>
      <c r="O134" s="142"/>
      <c r="P134" s="104">
        <f>P128+P131</f>
        <v>0</v>
      </c>
      <c r="Q134" s="74"/>
      <c r="R134" s="74"/>
      <c r="S134" s="74"/>
      <c r="T134" s="75"/>
      <c r="U134" s="2"/>
      <c r="V134" s="2"/>
      <c r="W134" s="2"/>
      <c r="X134" s="2"/>
      <c r="Y134" s="2"/>
    </row>
    <row r="135" spans="1:25">
      <c r="A135" s="43" t="s">
        <v>161</v>
      </c>
      <c r="B135" s="16"/>
      <c r="D135" s="1" t="s">
        <v>161</v>
      </c>
      <c r="E135" s="22"/>
      <c r="F135" s="12" t="e">
        <f t="shared" ref="F135:F198" si="9">SUBSTITUTE(B135,".",",")*100/100</f>
        <v>#VALUE!</v>
      </c>
      <c r="G135" s="6" t="e">
        <f t="shared" si="7"/>
        <v>#VALUE!</v>
      </c>
      <c r="H135" s="19">
        <f t="shared" si="8"/>
        <v>-228</v>
      </c>
      <c r="I135" s="25"/>
      <c r="J135" s="81"/>
      <c r="K135" s="73"/>
      <c r="L135" s="74"/>
      <c r="M135" s="74"/>
      <c r="N135" s="74"/>
      <c r="O135" s="74"/>
      <c r="P135" s="74"/>
      <c r="Q135" s="74"/>
      <c r="R135" s="91"/>
      <c r="S135" s="74"/>
      <c r="T135" s="75"/>
      <c r="U135" s="2"/>
      <c r="V135" s="2"/>
      <c r="W135" s="2"/>
      <c r="X135" s="2"/>
      <c r="Y135" s="2"/>
    </row>
    <row r="136" spans="1:25">
      <c r="A136" s="43" t="s">
        <v>162</v>
      </c>
      <c r="B136" s="16"/>
      <c r="D136" s="1" t="s">
        <v>162</v>
      </c>
      <c r="E136" s="22"/>
      <c r="F136" s="12" t="e">
        <f t="shared" si="9"/>
        <v>#VALUE!</v>
      </c>
      <c r="G136" s="6" t="e">
        <f t="shared" si="7"/>
        <v>#VALUE!</v>
      </c>
      <c r="H136" s="19">
        <f t="shared" si="8"/>
        <v>-227</v>
      </c>
      <c r="I136" s="25"/>
      <c r="J136" s="81"/>
      <c r="K136" s="76"/>
      <c r="L136" s="77"/>
      <c r="M136" s="77"/>
      <c r="N136" s="77"/>
      <c r="O136" s="77"/>
      <c r="P136" s="77"/>
      <c r="Q136" s="97"/>
      <c r="R136" s="98"/>
      <c r="S136" s="77"/>
      <c r="T136" s="78"/>
      <c r="U136" s="2"/>
      <c r="V136" s="2"/>
      <c r="W136" s="2"/>
      <c r="X136" s="2"/>
      <c r="Y136" s="2"/>
    </row>
    <row r="137" spans="1:25">
      <c r="A137" s="43" t="s">
        <v>163</v>
      </c>
      <c r="B137" s="16"/>
      <c r="D137" s="1" t="s">
        <v>163</v>
      </c>
      <c r="E137" s="22"/>
      <c r="F137" s="12" t="e">
        <f t="shared" si="9"/>
        <v>#VALUE!</v>
      </c>
      <c r="G137" s="6" t="e">
        <f t="shared" si="7"/>
        <v>#VALUE!</v>
      </c>
      <c r="H137" s="19">
        <f t="shared" si="8"/>
        <v>-226</v>
      </c>
      <c r="I137" s="25"/>
      <c r="J137" s="22"/>
      <c r="K137" s="8"/>
      <c r="L137" s="8"/>
      <c r="M137" s="8"/>
      <c r="N137" s="8"/>
      <c r="O137" s="8"/>
      <c r="P137" s="8"/>
      <c r="Q137" s="8"/>
      <c r="R137" s="38"/>
      <c r="S137" s="8"/>
      <c r="T137" s="8"/>
      <c r="U137" s="2"/>
      <c r="V137" s="2"/>
      <c r="W137" s="2"/>
      <c r="X137" s="2"/>
      <c r="Y137" s="2"/>
    </row>
    <row r="138" spans="1:25">
      <c r="A138" s="43" t="s">
        <v>164</v>
      </c>
      <c r="B138" s="16"/>
      <c r="D138" s="1" t="s">
        <v>164</v>
      </c>
      <c r="E138" s="22"/>
      <c r="F138" s="12" t="e">
        <f t="shared" si="9"/>
        <v>#VALUE!</v>
      </c>
      <c r="G138" s="6" t="e">
        <f t="shared" si="7"/>
        <v>#VALUE!</v>
      </c>
      <c r="H138" s="19">
        <f t="shared" si="8"/>
        <v>-225</v>
      </c>
      <c r="I138" s="25"/>
      <c r="J138" s="22"/>
      <c r="K138" s="8"/>
      <c r="L138" s="8"/>
      <c r="M138" s="8"/>
      <c r="N138" s="8"/>
      <c r="O138" s="8"/>
      <c r="P138" s="8"/>
      <c r="Q138" s="8"/>
      <c r="R138" s="38"/>
      <c r="S138" s="8"/>
      <c r="T138" s="8"/>
      <c r="U138" s="2"/>
      <c r="V138" s="2"/>
      <c r="W138" s="2"/>
      <c r="X138" s="2"/>
      <c r="Y138" s="2"/>
    </row>
    <row r="139" spans="1:25">
      <c r="A139" s="43" t="s">
        <v>165</v>
      </c>
      <c r="B139" s="16"/>
      <c r="D139" s="1" t="s">
        <v>165</v>
      </c>
      <c r="E139" s="22"/>
      <c r="F139" s="12" t="e">
        <f t="shared" si="9"/>
        <v>#VALUE!</v>
      </c>
      <c r="G139" s="6" t="e">
        <f t="shared" si="7"/>
        <v>#VALUE!</v>
      </c>
      <c r="H139" s="19">
        <f t="shared" si="8"/>
        <v>-224</v>
      </c>
      <c r="I139" s="25"/>
      <c r="J139" s="22"/>
      <c r="K139" s="8"/>
      <c r="L139" s="8"/>
      <c r="M139" s="8"/>
      <c r="N139" s="8"/>
      <c r="O139" s="8"/>
      <c r="P139" s="8"/>
      <c r="Q139" s="42"/>
      <c r="R139" s="38"/>
      <c r="S139" s="8"/>
      <c r="T139" s="8"/>
      <c r="U139" s="2"/>
      <c r="V139" s="2"/>
      <c r="W139" s="2"/>
      <c r="X139" s="2"/>
      <c r="Y139" s="2"/>
    </row>
    <row r="140" spans="1:25">
      <c r="A140" s="43" t="s">
        <v>166</v>
      </c>
      <c r="B140" s="16"/>
      <c r="D140" s="1" t="s">
        <v>166</v>
      </c>
      <c r="E140" s="22"/>
      <c r="F140" s="12" t="e">
        <f t="shared" si="9"/>
        <v>#VALUE!</v>
      </c>
      <c r="G140" s="6" t="e">
        <f t="shared" si="7"/>
        <v>#VALUE!</v>
      </c>
      <c r="H140" s="19">
        <f t="shared" si="8"/>
        <v>-223</v>
      </c>
      <c r="I140" s="25"/>
      <c r="J140" s="22"/>
      <c r="K140" s="8"/>
      <c r="L140" s="8"/>
      <c r="M140" s="8"/>
      <c r="N140" s="8"/>
      <c r="O140" s="8"/>
      <c r="P140" s="8"/>
      <c r="Q140" s="42"/>
      <c r="R140" s="38"/>
      <c r="S140" s="8"/>
      <c r="T140" s="8"/>
      <c r="U140" s="2"/>
      <c r="V140" s="2"/>
      <c r="W140" s="2"/>
      <c r="X140" s="2"/>
      <c r="Y140" s="2"/>
    </row>
    <row r="141" spans="1:25">
      <c r="A141" s="43" t="s">
        <v>167</v>
      </c>
      <c r="B141" s="16"/>
      <c r="D141" s="1" t="s">
        <v>167</v>
      </c>
      <c r="E141" s="22"/>
      <c r="F141" s="12" t="e">
        <f t="shared" si="9"/>
        <v>#VALUE!</v>
      </c>
      <c r="G141" s="6" t="e">
        <f t="shared" si="7"/>
        <v>#VALUE!</v>
      </c>
      <c r="H141" s="19">
        <f t="shared" si="8"/>
        <v>-222</v>
      </c>
      <c r="I141" s="25"/>
      <c r="J141" s="22"/>
      <c r="K141" s="8"/>
      <c r="L141" s="8"/>
      <c r="M141" s="8"/>
      <c r="N141" s="8"/>
      <c r="O141" s="8"/>
      <c r="P141" s="8"/>
      <c r="Q141" s="41"/>
      <c r="R141" s="11"/>
      <c r="S141" s="8"/>
      <c r="T141" s="8"/>
      <c r="U141" s="2"/>
      <c r="V141" s="2"/>
      <c r="W141" s="2"/>
      <c r="X141" s="2"/>
      <c r="Y141" s="2"/>
    </row>
    <row r="142" spans="1:25">
      <c r="A142" s="43" t="s">
        <v>168</v>
      </c>
      <c r="B142" s="16"/>
      <c r="D142" s="1" t="s">
        <v>168</v>
      </c>
      <c r="E142" s="22"/>
      <c r="F142" s="12" t="e">
        <f t="shared" si="9"/>
        <v>#VALUE!</v>
      </c>
      <c r="G142" s="6" t="e">
        <f t="shared" si="7"/>
        <v>#VALUE!</v>
      </c>
      <c r="H142" s="19">
        <f t="shared" si="8"/>
        <v>-221</v>
      </c>
      <c r="I142" s="25"/>
      <c r="J142" s="22"/>
      <c r="K142" s="8"/>
      <c r="L142" s="8"/>
      <c r="M142" s="8"/>
      <c r="N142" s="8"/>
      <c r="O142" s="8"/>
      <c r="P142" s="8"/>
      <c r="Q142" s="8"/>
      <c r="R142" s="11"/>
      <c r="S142" s="8"/>
      <c r="T142" s="8"/>
      <c r="U142" s="2"/>
      <c r="V142" s="2"/>
      <c r="W142" s="2"/>
      <c r="X142" s="2"/>
      <c r="Y142" s="2"/>
    </row>
    <row r="143" spans="1:25">
      <c r="A143" s="43" t="s">
        <v>169</v>
      </c>
      <c r="B143" s="16"/>
      <c r="D143" s="1" t="s">
        <v>169</v>
      </c>
      <c r="E143" s="22"/>
      <c r="F143" s="12" t="e">
        <f t="shared" si="9"/>
        <v>#VALUE!</v>
      </c>
      <c r="G143" s="6" t="e">
        <f t="shared" si="7"/>
        <v>#VALUE!</v>
      </c>
      <c r="H143" s="19">
        <f t="shared" si="8"/>
        <v>-220</v>
      </c>
      <c r="I143" s="25"/>
      <c r="J143" s="22"/>
      <c r="K143" s="8"/>
      <c r="L143" s="8"/>
      <c r="M143" s="8"/>
      <c r="N143" s="8"/>
      <c r="O143" s="8"/>
      <c r="P143" s="8"/>
      <c r="Q143" s="8"/>
      <c r="R143" s="11"/>
      <c r="S143" s="8"/>
      <c r="T143" s="8"/>
      <c r="U143" s="2"/>
      <c r="V143" s="2"/>
      <c r="W143" s="2"/>
      <c r="X143" s="2"/>
      <c r="Y143" s="2"/>
    </row>
    <row r="144" spans="1:25">
      <c r="A144" s="43" t="s">
        <v>170</v>
      </c>
      <c r="B144" s="16"/>
      <c r="D144" s="1" t="s">
        <v>170</v>
      </c>
      <c r="E144" s="22"/>
      <c r="F144" s="12" t="e">
        <f t="shared" si="9"/>
        <v>#VALUE!</v>
      </c>
      <c r="G144" s="6" t="e">
        <f t="shared" si="7"/>
        <v>#VALUE!</v>
      </c>
      <c r="H144" s="19">
        <f t="shared" si="8"/>
        <v>-219</v>
      </c>
      <c r="I144" s="25"/>
      <c r="J144" s="22"/>
      <c r="K144" s="8"/>
      <c r="L144" s="8"/>
      <c r="M144" s="8"/>
      <c r="N144" s="8"/>
      <c r="O144" s="8"/>
      <c r="P144" s="8"/>
      <c r="Q144" s="8"/>
      <c r="R144" s="11"/>
      <c r="S144" s="8"/>
      <c r="T144" s="8"/>
      <c r="U144" s="2"/>
      <c r="V144" s="2"/>
      <c r="W144" s="2"/>
      <c r="X144" s="2"/>
      <c r="Y144" s="2"/>
    </row>
    <row r="145" spans="1:44">
      <c r="A145" s="43" t="s">
        <v>171</v>
      </c>
      <c r="B145" s="16"/>
      <c r="D145" s="1" t="s">
        <v>171</v>
      </c>
      <c r="E145" s="22"/>
      <c r="F145" s="12" t="e">
        <f t="shared" si="9"/>
        <v>#VALUE!</v>
      </c>
      <c r="G145" s="6" t="e">
        <f t="shared" si="7"/>
        <v>#VALUE!</v>
      </c>
      <c r="H145" s="19">
        <f t="shared" si="8"/>
        <v>-218</v>
      </c>
      <c r="I145" s="25"/>
      <c r="J145" s="22"/>
      <c r="K145" s="8"/>
      <c r="L145" s="8"/>
      <c r="M145" s="8"/>
      <c r="N145" s="8"/>
      <c r="O145" s="8"/>
      <c r="P145" s="8"/>
      <c r="Q145" s="8"/>
      <c r="R145" s="11"/>
      <c r="S145" s="8"/>
      <c r="T145" s="8"/>
      <c r="U145" s="2"/>
      <c r="V145" s="2"/>
      <c r="W145" s="2"/>
      <c r="X145" s="2"/>
      <c r="Y145" s="2"/>
    </row>
    <row r="146" spans="1:44">
      <c r="A146" s="43" t="s">
        <v>172</v>
      </c>
      <c r="B146" s="16"/>
      <c r="D146" s="1" t="s">
        <v>172</v>
      </c>
      <c r="E146" s="22"/>
      <c r="F146" s="12" t="e">
        <f t="shared" si="9"/>
        <v>#VALUE!</v>
      </c>
      <c r="G146" s="6" t="e">
        <f t="shared" si="7"/>
        <v>#VALUE!</v>
      </c>
      <c r="H146" s="19">
        <f t="shared" si="8"/>
        <v>-217</v>
      </c>
      <c r="I146" s="25"/>
      <c r="J146" s="22"/>
      <c r="K146" s="8"/>
      <c r="L146" s="8"/>
      <c r="M146" s="8"/>
      <c r="N146" s="8"/>
      <c r="O146" s="8"/>
      <c r="P146" s="8"/>
      <c r="Q146" s="8"/>
      <c r="R146" s="11"/>
      <c r="S146" s="8"/>
      <c r="T146" s="8"/>
      <c r="U146" s="2"/>
      <c r="V146" s="2"/>
      <c r="W146" s="2"/>
      <c r="X146" s="2"/>
      <c r="Y146" s="2"/>
    </row>
    <row r="147" spans="1:44">
      <c r="A147" s="43" t="s">
        <v>173</v>
      </c>
      <c r="B147" s="16"/>
      <c r="D147" s="1" t="s">
        <v>173</v>
      </c>
      <c r="E147" s="22"/>
      <c r="F147" s="12" t="e">
        <f t="shared" si="9"/>
        <v>#VALUE!</v>
      </c>
      <c r="G147" s="6" t="e">
        <f t="shared" si="7"/>
        <v>#VALUE!</v>
      </c>
      <c r="H147" s="19">
        <f t="shared" si="8"/>
        <v>-216</v>
      </c>
      <c r="I147" s="25"/>
      <c r="J147" s="22"/>
      <c r="K147" s="8"/>
      <c r="L147" s="8"/>
      <c r="M147" s="8"/>
      <c r="N147" s="8"/>
      <c r="O147" s="8"/>
      <c r="P147" s="8"/>
      <c r="Q147" s="8"/>
      <c r="R147" s="11"/>
      <c r="S147" s="8"/>
      <c r="T147" s="8"/>
      <c r="U147" s="2"/>
      <c r="V147" s="2"/>
      <c r="W147" s="2"/>
      <c r="X147" s="2"/>
      <c r="Y147" s="2"/>
    </row>
    <row r="148" spans="1:44">
      <c r="A148" s="43" t="s">
        <v>174</v>
      </c>
      <c r="B148" s="16"/>
      <c r="D148" s="1" t="s">
        <v>174</v>
      </c>
      <c r="E148" s="22"/>
      <c r="F148" s="12" t="e">
        <f t="shared" si="9"/>
        <v>#VALUE!</v>
      </c>
      <c r="G148" s="6" t="e">
        <f t="shared" si="7"/>
        <v>#VALUE!</v>
      </c>
      <c r="H148" s="19">
        <f t="shared" si="8"/>
        <v>-215</v>
      </c>
      <c r="I148" s="25"/>
      <c r="J148" s="22"/>
      <c r="K148" s="8"/>
      <c r="L148" s="8"/>
      <c r="M148" s="8"/>
      <c r="N148" s="8"/>
      <c r="O148" s="8"/>
      <c r="P148" s="8"/>
      <c r="Q148" s="8"/>
      <c r="R148" s="11"/>
      <c r="S148" s="8"/>
      <c r="T148" s="8"/>
      <c r="U148" s="2"/>
      <c r="V148" s="2"/>
      <c r="W148" s="2"/>
      <c r="X148" s="2"/>
      <c r="Y148" s="2"/>
    </row>
    <row r="149" spans="1:44">
      <c r="A149" s="43" t="s">
        <v>175</v>
      </c>
      <c r="B149" s="16"/>
      <c r="D149" s="1" t="s">
        <v>175</v>
      </c>
      <c r="E149" s="22"/>
      <c r="F149" s="12" t="e">
        <f t="shared" si="9"/>
        <v>#VALUE!</v>
      </c>
      <c r="G149" s="6" t="e">
        <f t="shared" si="7"/>
        <v>#VALUE!</v>
      </c>
      <c r="H149" s="19">
        <f t="shared" si="8"/>
        <v>-214</v>
      </c>
      <c r="I149" s="25"/>
      <c r="J149" s="22"/>
      <c r="K149" s="8"/>
      <c r="L149" s="8"/>
      <c r="M149" s="8"/>
      <c r="N149" s="8"/>
      <c r="O149" s="8"/>
      <c r="P149" s="8"/>
      <c r="Q149" s="8"/>
      <c r="R149" s="11"/>
      <c r="S149" s="8"/>
      <c r="T149" s="8"/>
      <c r="U149" s="2"/>
      <c r="V149" s="2"/>
      <c r="W149" s="2"/>
      <c r="X149" s="2"/>
      <c r="Y149" s="2"/>
    </row>
    <row r="150" spans="1:44">
      <c r="A150" s="43" t="s">
        <v>176</v>
      </c>
      <c r="B150" s="16"/>
      <c r="D150" s="1" t="s">
        <v>176</v>
      </c>
      <c r="E150" s="22"/>
      <c r="F150" s="12" t="e">
        <f t="shared" si="9"/>
        <v>#VALUE!</v>
      </c>
      <c r="G150" s="6" t="e">
        <f t="shared" si="7"/>
        <v>#VALUE!</v>
      </c>
      <c r="H150" s="19">
        <f t="shared" si="8"/>
        <v>-213</v>
      </c>
      <c r="I150" s="25"/>
      <c r="J150" s="22"/>
      <c r="K150" s="8"/>
      <c r="L150" s="8"/>
      <c r="M150" s="8"/>
      <c r="N150" s="8"/>
      <c r="O150" s="8"/>
      <c r="P150" s="8"/>
      <c r="Q150" s="8"/>
      <c r="R150" s="11"/>
      <c r="S150" s="8"/>
      <c r="T150" s="8"/>
      <c r="U150" s="2"/>
      <c r="V150" s="2"/>
      <c r="W150" s="2"/>
      <c r="X150" s="2"/>
      <c r="Y150" s="2"/>
    </row>
    <row r="151" spans="1:44">
      <c r="A151" s="43" t="s">
        <v>177</v>
      </c>
      <c r="B151" s="16"/>
      <c r="D151" s="1" t="s">
        <v>177</v>
      </c>
      <c r="E151" s="22"/>
      <c r="F151" s="12" t="e">
        <f t="shared" si="9"/>
        <v>#VALUE!</v>
      </c>
      <c r="G151" s="6" t="e">
        <f t="shared" si="7"/>
        <v>#VALUE!</v>
      </c>
      <c r="H151" s="19">
        <f t="shared" si="8"/>
        <v>-212</v>
      </c>
      <c r="I151" s="25"/>
      <c r="J151" s="2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</row>
    <row r="152" spans="1:44">
      <c r="A152" s="43" t="s">
        <v>178</v>
      </c>
      <c r="B152" s="16"/>
      <c r="D152" s="1" t="s">
        <v>178</v>
      </c>
      <c r="E152" s="22"/>
      <c r="F152" s="12" t="e">
        <f t="shared" si="9"/>
        <v>#VALUE!</v>
      </c>
      <c r="G152" s="6" t="e">
        <f t="shared" si="7"/>
        <v>#VALUE!</v>
      </c>
      <c r="H152" s="19">
        <f t="shared" si="8"/>
        <v>-211</v>
      </c>
      <c r="I152" s="25"/>
      <c r="J152" s="2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</row>
    <row r="153" spans="1:44">
      <c r="A153" s="43" t="s">
        <v>179</v>
      </c>
      <c r="B153" s="16"/>
      <c r="D153" s="1" t="s">
        <v>179</v>
      </c>
      <c r="E153" s="22"/>
      <c r="F153" s="12" t="e">
        <f t="shared" si="9"/>
        <v>#VALUE!</v>
      </c>
      <c r="G153" s="6" t="e">
        <f t="shared" si="7"/>
        <v>#VALUE!</v>
      </c>
      <c r="H153" s="19">
        <f t="shared" si="8"/>
        <v>-210</v>
      </c>
      <c r="I153" s="25"/>
      <c r="J153" s="2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</row>
    <row r="154" spans="1:44">
      <c r="A154" s="43" t="s">
        <v>180</v>
      </c>
      <c r="B154" s="16"/>
      <c r="D154" s="1" t="s">
        <v>180</v>
      </c>
      <c r="E154" s="22"/>
      <c r="F154" s="12" t="e">
        <f t="shared" si="9"/>
        <v>#VALUE!</v>
      </c>
      <c r="G154" s="6" t="e">
        <f t="shared" si="7"/>
        <v>#VALUE!</v>
      </c>
      <c r="H154" s="19">
        <f t="shared" si="8"/>
        <v>-209</v>
      </c>
      <c r="I154" s="25"/>
      <c r="J154" s="2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</row>
    <row r="155" spans="1:44">
      <c r="A155" s="43" t="s">
        <v>181</v>
      </c>
      <c r="B155" s="16"/>
      <c r="D155" s="1" t="s">
        <v>181</v>
      </c>
      <c r="E155" s="22"/>
      <c r="F155" s="12" t="e">
        <f t="shared" si="9"/>
        <v>#VALUE!</v>
      </c>
      <c r="G155" s="6" t="e">
        <f t="shared" si="7"/>
        <v>#VALUE!</v>
      </c>
      <c r="H155" s="19">
        <f t="shared" si="8"/>
        <v>-208</v>
      </c>
      <c r="I155" s="25"/>
      <c r="J155" s="2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</row>
    <row r="156" spans="1:44">
      <c r="A156" s="43" t="s">
        <v>182</v>
      </c>
      <c r="B156" s="16"/>
      <c r="D156" s="1" t="s">
        <v>182</v>
      </c>
      <c r="E156" s="22"/>
      <c r="F156" s="12" t="e">
        <f t="shared" si="9"/>
        <v>#VALUE!</v>
      </c>
      <c r="G156" s="6" t="e">
        <f t="shared" si="7"/>
        <v>#VALUE!</v>
      </c>
      <c r="H156" s="19">
        <f t="shared" si="8"/>
        <v>-207</v>
      </c>
      <c r="I156" s="25"/>
      <c r="J156" s="2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</row>
    <row r="157" spans="1:44">
      <c r="A157" s="43" t="s">
        <v>183</v>
      </c>
      <c r="B157" s="16"/>
      <c r="D157" s="1" t="s">
        <v>183</v>
      </c>
      <c r="E157" s="22"/>
      <c r="F157" s="12" t="e">
        <f t="shared" si="9"/>
        <v>#VALUE!</v>
      </c>
      <c r="G157" s="6" t="e">
        <f t="shared" si="7"/>
        <v>#VALUE!</v>
      </c>
      <c r="H157" s="19">
        <f t="shared" si="8"/>
        <v>-206</v>
      </c>
      <c r="I157" s="25"/>
      <c r="J157" s="2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</row>
    <row r="158" spans="1:44">
      <c r="A158" s="43" t="s">
        <v>184</v>
      </c>
      <c r="B158" s="16"/>
      <c r="D158" s="1" t="s">
        <v>184</v>
      </c>
      <c r="E158" s="22"/>
      <c r="F158" s="12" t="e">
        <f t="shared" si="9"/>
        <v>#VALUE!</v>
      </c>
      <c r="G158" s="6" t="e">
        <f t="shared" si="7"/>
        <v>#VALUE!</v>
      </c>
      <c r="H158" s="19">
        <f t="shared" si="8"/>
        <v>-205</v>
      </c>
      <c r="I158" s="25"/>
      <c r="J158" s="2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</row>
    <row r="159" spans="1:44">
      <c r="A159" s="43" t="s">
        <v>185</v>
      </c>
      <c r="B159" s="16"/>
      <c r="D159" s="1" t="s">
        <v>185</v>
      </c>
      <c r="E159" s="22"/>
      <c r="F159" s="12" t="e">
        <f t="shared" si="9"/>
        <v>#VALUE!</v>
      </c>
      <c r="G159" s="6" t="e">
        <f t="shared" si="7"/>
        <v>#VALUE!</v>
      </c>
      <c r="H159" s="19">
        <f t="shared" si="8"/>
        <v>-204</v>
      </c>
      <c r="I159" s="25"/>
      <c r="J159" s="2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</row>
    <row r="160" spans="1:44">
      <c r="A160" s="43" t="s">
        <v>186</v>
      </c>
      <c r="B160" s="16"/>
      <c r="D160" s="1" t="s">
        <v>186</v>
      </c>
      <c r="E160" s="22"/>
      <c r="F160" s="12" t="e">
        <f t="shared" si="9"/>
        <v>#VALUE!</v>
      </c>
      <c r="G160" s="6" t="e">
        <f t="shared" si="7"/>
        <v>#VALUE!</v>
      </c>
      <c r="H160" s="19">
        <f t="shared" si="8"/>
        <v>-203</v>
      </c>
      <c r="I160" s="25"/>
      <c r="J160" s="2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</row>
    <row r="161" spans="1:44">
      <c r="A161" s="43" t="s">
        <v>187</v>
      </c>
      <c r="B161" s="16"/>
      <c r="D161" s="1" t="s">
        <v>187</v>
      </c>
      <c r="E161" s="22"/>
      <c r="F161" s="12" t="e">
        <f t="shared" si="9"/>
        <v>#VALUE!</v>
      </c>
      <c r="G161" s="6" t="e">
        <f t="shared" si="7"/>
        <v>#VALUE!</v>
      </c>
      <c r="H161" s="19">
        <f t="shared" si="8"/>
        <v>-202</v>
      </c>
      <c r="I161" s="25"/>
      <c r="J161" s="2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</row>
    <row r="162" spans="1:44">
      <c r="A162" s="43" t="s">
        <v>188</v>
      </c>
      <c r="B162" s="16"/>
      <c r="D162" s="1" t="s">
        <v>188</v>
      </c>
      <c r="E162" s="22"/>
      <c r="F162" s="12" t="e">
        <f t="shared" si="9"/>
        <v>#VALUE!</v>
      </c>
      <c r="G162" s="6" t="e">
        <f t="shared" si="7"/>
        <v>#VALUE!</v>
      </c>
      <c r="H162" s="19">
        <f t="shared" si="8"/>
        <v>-201</v>
      </c>
      <c r="I162" s="25"/>
      <c r="J162" s="2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</row>
    <row r="163" spans="1:44">
      <c r="A163" s="43" t="s">
        <v>189</v>
      </c>
      <c r="B163" s="16"/>
      <c r="D163" s="1" t="s">
        <v>189</v>
      </c>
      <c r="E163" s="22"/>
      <c r="F163" s="12" t="e">
        <f t="shared" si="9"/>
        <v>#VALUE!</v>
      </c>
      <c r="G163" s="6" t="e">
        <f t="shared" si="7"/>
        <v>#VALUE!</v>
      </c>
      <c r="H163" s="19">
        <f t="shared" si="8"/>
        <v>-200</v>
      </c>
      <c r="I163" s="25"/>
      <c r="J163" s="2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</row>
    <row r="164" spans="1:44">
      <c r="A164" s="43" t="s">
        <v>190</v>
      </c>
      <c r="B164" s="16"/>
      <c r="D164" s="1" t="s">
        <v>190</v>
      </c>
      <c r="E164" s="22"/>
      <c r="F164" s="12" t="e">
        <f t="shared" si="9"/>
        <v>#VALUE!</v>
      </c>
      <c r="G164" s="6" t="e">
        <f t="shared" si="7"/>
        <v>#VALUE!</v>
      </c>
      <c r="H164" s="19">
        <f t="shared" si="8"/>
        <v>-199</v>
      </c>
      <c r="I164" s="25"/>
      <c r="J164" s="2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</row>
    <row r="165" spans="1:44">
      <c r="A165" s="43" t="s">
        <v>191</v>
      </c>
      <c r="B165" s="16"/>
      <c r="D165" s="1" t="s">
        <v>191</v>
      </c>
      <c r="E165" s="22"/>
      <c r="F165" s="12" t="e">
        <f t="shared" si="9"/>
        <v>#VALUE!</v>
      </c>
      <c r="G165" s="6" t="e">
        <f t="shared" si="7"/>
        <v>#VALUE!</v>
      </c>
      <c r="H165" s="19">
        <f t="shared" si="8"/>
        <v>-198</v>
      </c>
      <c r="I165" s="25"/>
      <c r="J165" s="2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</row>
    <row r="166" spans="1:44">
      <c r="A166" s="43" t="s">
        <v>192</v>
      </c>
      <c r="B166" s="16"/>
      <c r="D166" s="1" t="s">
        <v>192</v>
      </c>
      <c r="E166" s="22"/>
      <c r="F166" s="12" t="e">
        <f t="shared" si="9"/>
        <v>#VALUE!</v>
      </c>
      <c r="G166" s="6" t="e">
        <f t="shared" si="7"/>
        <v>#VALUE!</v>
      </c>
      <c r="H166" s="19">
        <f t="shared" si="8"/>
        <v>-197</v>
      </c>
      <c r="I166" s="25"/>
      <c r="J166" s="2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</row>
    <row r="167" spans="1:44">
      <c r="A167" s="43" t="s">
        <v>193</v>
      </c>
      <c r="B167" s="16"/>
      <c r="D167" s="1" t="s">
        <v>193</v>
      </c>
      <c r="E167" s="22"/>
      <c r="F167" s="12" t="e">
        <f t="shared" si="9"/>
        <v>#VALUE!</v>
      </c>
      <c r="G167" s="6" t="e">
        <f t="shared" si="7"/>
        <v>#VALUE!</v>
      </c>
      <c r="H167" s="19">
        <f t="shared" si="8"/>
        <v>-196</v>
      </c>
      <c r="I167" s="25"/>
      <c r="J167" s="2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</row>
    <row r="168" spans="1:44">
      <c r="A168" s="43" t="s">
        <v>194</v>
      </c>
      <c r="B168" s="16"/>
      <c r="D168" s="1" t="s">
        <v>194</v>
      </c>
      <c r="E168" s="22"/>
      <c r="F168" s="12" t="e">
        <f t="shared" si="9"/>
        <v>#VALUE!</v>
      </c>
      <c r="G168" s="6" t="e">
        <f t="shared" si="7"/>
        <v>#VALUE!</v>
      </c>
      <c r="H168" s="19">
        <f t="shared" si="8"/>
        <v>-195</v>
      </c>
      <c r="I168" s="25"/>
      <c r="J168" s="2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</row>
    <row r="169" spans="1:44">
      <c r="A169" s="43" t="s">
        <v>195</v>
      </c>
      <c r="B169" s="16"/>
      <c r="D169" s="1" t="s">
        <v>195</v>
      </c>
      <c r="E169" s="22"/>
      <c r="F169" s="12" t="e">
        <f t="shared" si="9"/>
        <v>#VALUE!</v>
      </c>
      <c r="G169" s="6" t="e">
        <f t="shared" si="7"/>
        <v>#VALUE!</v>
      </c>
      <c r="H169" s="19">
        <f t="shared" si="8"/>
        <v>-194</v>
      </c>
      <c r="I169" s="25"/>
      <c r="J169" s="2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</row>
    <row r="170" spans="1:44">
      <c r="A170" s="43" t="s">
        <v>196</v>
      </c>
      <c r="B170" s="16"/>
      <c r="D170" s="1" t="s">
        <v>196</v>
      </c>
      <c r="E170" s="22"/>
      <c r="F170" s="12" t="e">
        <f t="shared" si="9"/>
        <v>#VALUE!</v>
      </c>
      <c r="G170" s="6" t="e">
        <f t="shared" si="7"/>
        <v>#VALUE!</v>
      </c>
      <c r="H170" s="19">
        <f t="shared" si="8"/>
        <v>-193</v>
      </c>
      <c r="I170" s="25"/>
      <c r="J170" s="2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</row>
    <row r="171" spans="1:44">
      <c r="A171" s="43" t="s">
        <v>197</v>
      </c>
      <c r="B171" s="16"/>
      <c r="D171" s="1" t="s">
        <v>197</v>
      </c>
      <c r="E171" s="22"/>
      <c r="F171" s="12" t="e">
        <f t="shared" si="9"/>
        <v>#VALUE!</v>
      </c>
      <c r="G171" s="6" t="e">
        <f t="shared" si="7"/>
        <v>#VALUE!</v>
      </c>
      <c r="H171" s="19">
        <f t="shared" si="8"/>
        <v>-192</v>
      </c>
      <c r="I171" s="25"/>
      <c r="J171" s="2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</row>
    <row r="172" spans="1:44">
      <c r="A172" s="43" t="s">
        <v>198</v>
      </c>
      <c r="B172" s="16"/>
      <c r="D172" s="1" t="s">
        <v>198</v>
      </c>
      <c r="E172" s="22"/>
      <c r="F172" s="12" t="e">
        <f t="shared" si="9"/>
        <v>#VALUE!</v>
      </c>
      <c r="G172" s="6" t="e">
        <f t="shared" si="7"/>
        <v>#VALUE!</v>
      </c>
      <c r="H172" s="19">
        <f t="shared" si="8"/>
        <v>-191</v>
      </c>
      <c r="I172" s="25"/>
      <c r="J172" s="2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</row>
    <row r="173" spans="1:44">
      <c r="A173" s="43" t="s">
        <v>199</v>
      </c>
      <c r="B173" s="16"/>
      <c r="D173" s="1" t="s">
        <v>199</v>
      </c>
      <c r="E173" s="22"/>
      <c r="F173" s="12" t="e">
        <f t="shared" si="9"/>
        <v>#VALUE!</v>
      </c>
      <c r="G173" s="6" t="e">
        <f t="shared" si="7"/>
        <v>#VALUE!</v>
      </c>
      <c r="H173" s="19">
        <f t="shared" si="8"/>
        <v>-190</v>
      </c>
      <c r="I173" s="25"/>
      <c r="J173" s="2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</row>
    <row r="174" spans="1:44">
      <c r="A174" s="43" t="s">
        <v>200</v>
      </c>
      <c r="B174" s="16"/>
      <c r="D174" s="1" t="s">
        <v>200</v>
      </c>
      <c r="E174" s="22"/>
      <c r="F174" s="12" t="e">
        <f t="shared" si="9"/>
        <v>#VALUE!</v>
      </c>
      <c r="G174" s="6" t="e">
        <f t="shared" si="7"/>
        <v>#VALUE!</v>
      </c>
      <c r="H174" s="19">
        <f t="shared" si="8"/>
        <v>-189</v>
      </c>
      <c r="I174" s="25"/>
      <c r="J174" s="2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</row>
    <row r="175" spans="1:44">
      <c r="A175" s="43" t="s">
        <v>201</v>
      </c>
      <c r="B175" s="16"/>
      <c r="D175" s="1" t="s">
        <v>201</v>
      </c>
      <c r="E175" s="22"/>
      <c r="F175" s="12" t="e">
        <f t="shared" si="9"/>
        <v>#VALUE!</v>
      </c>
      <c r="G175" s="6" t="e">
        <f t="shared" si="7"/>
        <v>#VALUE!</v>
      </c>
      <c r="H175" s="19">
        <f t="shared" si="8"/>
        <v>-188</v>
      </c>
      <c r="I175" s="25"/>
      <c r="J175" s="2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</row>
    <row r="176" spans="1:44">
      <c r="A176" s="43" t="s">
        <v>202</v>
      </c>
      <c r="B176" s="16"/>
      <c r="D176" s="1" t="s">
        <v>202</v>
      </c>
      <c r="E176" s="22"/>
      <c r="F176" s="12" t="e">
        <f t="shared" si="9"/>
        <v>#VALUE!</v>
      </c>
      <c r="G176" s="6" t="e">
        <f t="shared" si="7"/>
        <v>#VALUE!</v>
      </c>
      <c r="H176" s="19">
        <f t="shared" si="8"/>
        <v>-187</v>
      </c>
      <c r="I176" s="25"/>
      <c r="J176" s="2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</row>
    <row r="177" spans="1:44">
      <c r="A177" s="43" t="s">
        <v>203</v>
      </c>
      <c r="B177" s="16"/>
      <c r="D177" s="1" t="s">
        <v>203</v>
      </c>
      <c r="E177" s="22"/>
      <c r="F177" s="12" t="e">
        <f t="shared" si="9"/>
        <v>#VALUE!</v>
      </c>
      <c r="G177" s="6" t="e">
        <f t="shared" si="7"/>
        <v>#VALUE!</v>
      </c>
      <c r="H177" s="19">
        <f t="shared" si="8"/>
        <v>-186</v>
      </c>
      <c r="I177" s="25"/>
      <c r="J177" s="2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</row>
    <row r="178" spans="1:44">
      <c r="A178" s="43" t="s">
        <v>204</v>
      </c>
      <c r="B178" s="16"/>
      <c r="D178" s="1" t="s">
        <v>204</v>
      </c>
      <c r="E178" s="22"/>
      <c r="F178" s="12" t="e">
        <f t="shared" si="9"/>
        <v>#VALUE!</v>
      </c>
      <c r="G178" s="6" t="e">
        <f t="shared" si="7"/>
        <v>#VALUE!</v>
      </c>
      <c r="H178" s="19">
        <f t="shared" si="8"/>
        <v>-185</v>
      </c>
      <c r="I178" s="25"/>
      <c r="J178" s="2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</row>
    <row r="179" spans="1:44">
      <c r="A179" s="43" t="s">
        <v>205</v>
      </c>
      <c r="B179" s="16"/>
      <c r="D179" s="1" t="s">
        <v>205</v>
      </c>
      <c r="E179" s="22"/>
      <c r="F179" s="12" t="e">
        <f t="shared" si="9"/>
        <v>#VALUE!</v>
      </c>
      <c r="G179" s="6" t="e">
        <f t="shared" si="7"/>
        <v>#VALUE!</v>
      </c>
      <c r="H179" s="19">
        <f t="shared" si="8"/>
        <v>-184</v>
      </c>
      <c r="I179" s="25"/>
      <c r="J179" s="2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</row>
    <row r="180" spans="1:44">
      <c r="A180" s="43" t="s">
        <v>206</v>
      </c>
      <c r="B180" s="16"/>
      <c r="D180" s="1" t="s">
        <v>206</v>
      </c>
      <c r="E180" s="22"/>
      <c r="F180" s="12" t="e">
        <f t="shared" si="9"/>
        <v>#VALUE!</v>
      </c>
      <c r="G180" s="6" t="e">
        <f t="shared" si="7"/>
        <v>#VALUE!</v>
      </c>
      <c r="H180" s="19">
        <f t="shared" si="8"/>
        <v>-183</v>
      </c>
      <c r="I180" s="25"/>
      <c r="J180" s="2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</row>
    <row r="181" spans="1:44">
      <c r="A181" s="43" t="s">
        <v>207</v>
      </c>
      <c r="B181" s="16"/>
      <c r="D181" s="1" t="s">
        <v>207</v>
      </c>
      <c r="E181" s="22"/>
      <c r="F181" s="12" t="e">
        <f t="shared" si="9"/>
        <v>#VALUE!</v>
      </c>
      <c r="G181" s="6" t="e">
        <f t="shared" si="7"/>
        <v>#VALUE!</v>
      </c>
      <c r="H181" s="19">
        <f t="shared" si="8"/>
        <v>-182</v>
      </c>
      <c r="I181" s="25"/>
      <c r="J181" s="2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</row>
    <row r="182" spans="1:44">
      <c r="A182" s="43" t="s">
        <v>208</v>
      </c>
      <c r="B182" s="16"/>
      <c r="D182" s="1" t="s">
        <v>208</v>
      </c>
      <c r="E182" s="22"/>
      <c r="F182" s="12" t="e">
        <f t="shared" si="9"/>
        <v>#VALUE!</v>
      </c>
      <c r="G182" s="6" t="e">
        <f t="shared" si="7"/>
        <v>#VALUE!</v>
      </c>
      <c r="H182" s="19">
        <f t="shared" si="8"/>
        <v>-181</v>
      </c>
      <c r="I182" s="25"/>
      <c r="J182" s="2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</row>
    <row r="183" spans="1:44">
      <c r="A183" s="43" t="s">
        <v>209</v>
      </c>
      <c r="B183" s="16"/>
      <c r="D183" s="1" t="s">
        <v>209</v>
      </c>
      <c r="E183" s="22"/>
      <c r="F183" s="12" t="e">
        <f t="shared" si="9"/>
        <v>#VALUE!</v>
      </c>
      <c r="G183" s="6" t="e">
        <f t="shared" si="7"/>
        <v>#VALUE!</v>
      </c>
      <c r="H183" s="19">
        <f t="shared" si="8"/>
        <v>-180</v>
      </c>
      <c r="I183" s="25"/>
      <c r="J183" s="2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</row>
    <row r="184" spans="1:44">
      <c r="A184" s="43" t="s">
        <v>210</v>
      </c>
      <c r="B184" s="16"/>
      <c r="D184" s="1" t="s">
        <v>210</v>
      </c>
      <c r="E184" s="22"/>
      <c r="F184" s="12" t="e">
        <f t="shared" si="9"/>
        <v>#VALUE!</v>
      </c>
      <c r="G184" s="6" t="e">
        <f t="shared" si="7"/>
        <v>#VALUE!</v>
      </c>
      <c r="H184" s="19">
        <f t="shared" si="8"/>
        <v>-179</v>
      </c>
      <c r="I184" s="25"/>
      <c r="J184" s="2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</row>
    <row r="185" spans="1:44">
      <c r="A185" s="43" t="s">
        <v>211</v>
      </c>
      <c r="B185" s="16"/>
      <c r="D185" s="1" t="s">
        <v>211</v>
      </c>
      <c r="E185" s="22"/>
      <c r="F185" s="12" t="e">
        <f t="shared" si="9"/>
        <v>#VALUE!</v>
      </c>
      <c r="G185" s="6" t="e">
        <f t="shared" si="7"/>
        <v>#VALUE!</v>
      </c>
      <c r="H185" s="19">
        <f t="shared" si="8"/>
        <v>-178</v>
      </c>
      <c r="I185" s="25"/>
      <c r="J185" s="2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</row>
    <row r="186" spans="1:44">
      <c r="A186" s="43" t="s">
        <v>212</v>
      </c>
      <c r="B186" s="16"/>
      <c r="D186" s="1" t="s">
        <v>212</v>
      </c>
      <c r="E186" s="22"/>
      <c r="F186" s="12" t="e">
        <f t="shared" si="9"/>
        <v>#VALUE!</v>
      </c>
      <c r="G186" s="6" t="e">
        <f t="shared" si="7"/>
        <v>#VALUE!</v>
      </c>
      <c r="H186" s="19">
        <f t="shared" si="8"/>
        <v>-177</v>
      </c>
      <c r="I186" s="25"/>
      <c r="J186" s="2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</row>
    <row r="187" spans="1:44">
      <c r="A187" s="43" t="s">
        <v>213</v>
      </c>
      <c r="B187" s="16"/>
      <c r="D187" s="1" t="s">
        <v>213</v>
      </c>
      <c r="E187" s="22"/>
      <c r="F187" s="12" t="e">
        <f t="shared" si="9"/>
        <v>#VALUE!</v>
      </c>
      <c r="G187" s="6" t="e">
        <f t="shared" si="7"/>
        <v>#VALUE!</v>
      </c>
      <c r="H187" s="19">
        <f t="shared" si="8"/>
        <v>-176</v>
      </c>
      <c r="I187" s="25"/>
      <c r="J187" s="2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</row>
    <row r="188" spans="1:44">
      <c r="A188" s="43" t="s">
        <v>214</v>
      </c>
      <c r="B188" s="16"/>
      <c r="D188" s="1" t="s">
        <v>214</v>
      </c>
      <c r="E188" s="22"/>
      <c r="F188" s="12" t="e">
        <f t="shared" si="9"/>
        <v>#VALUE!</v>
      </c>
      <c r="G188" s="6" t="e">
        <f t="shared" si="7"/>
        <v>#VALUE!</v>
      </c>
      <c r="H188" s="19">
        <f t="shared" si="8"/>
        <v>-175</v>
      </c>
      <c r="I188" s="25"/>
      <c r="J188" s="2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</row>
    <row r="189" spans="1:44">
      <c r="A189" s="43" t="s">
        <v>215</v>
      </c>
      <c r="B189" s="16"/>
      <c r="D189" s="1" t="s">
        <v>215</v>
      </c>
      <c r="E189" s="22"/>
      <c r="F189" s="12" t="e">
        <f t="shared" si="9"/>
        <v>#VALUE!</v>
      </c>
      <c r="G189" s="6" t="e">
        <f t="shared" si="7"/>
        <v>#VALUE!</v>
      </c>
      <c r="H189" s="19">
        <f t="shared" si="8"/>
        <v>-174</v>
      </c>
      <c r="I189" s="25"/>
      <c r="J189" s="2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</row>
    <row r="190" spans="1:44">
      <c r="A190" s="43" t="s">
        <v>216</v>
      </c>
      <c r="B190" s="16"/>
      <c r="D190" s="1" t="s">
        <v>216</v>
      </c>
      <c r="E190" s="22"/>
      <c r="F190" s="12" t="e">
        <f t="shared" si="9"/>
        <v>#VALUE!</v>
      </c>
      <c r="G190" s="6" t="e">
        <f t="shared" si="7"/>
        <v>#VALUE!</v>
      </c>
      <c r="H190" s="19">
        <f t="shared" si="8"/>
        <v>-173</v>
      </c>
      <c r="I190" s="25"/>
      <c r="J190" s="2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</row>
    <row r="191" spans="1:44">
      <c r="A191" s="43" t="s">
        <v>217</v>
      </c>
      <c r="B191" s="16"/>
      <c r="D191" s="1" t="s">
        <v>217</v>
      </c>
      <c r="E191" s="22"/>
      <c r="F191" s="12" t="e">
        <f t="shared" si="9"/>
        <v>#VALUE!</v>
      </c>
      <c r="G191" s="6" t="e">
        <f t="shared" si="7"/>
        <v>#VALUE!</v>
      </c>
      <c r="H191" s="19">
        <f t="shared" si="8"/>
        <v>-172</v>
      </c>
      <c r="I191" s="25"/>
      <c r="J191" s="2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</row>
    <row r="192" spans="1:44">
      <c r="A192" s="43" t="s">
        <v>218</v>
      </c>
      <c r="B192" s="16"/>
      <c r="D192" s="1" t="s">
        <v>218</v>
      </c>
      <c r="E192" s="22"/>
      <c r="F192" s="12" t="e">
        <f t="shared" si="9"/>
        <v>#VALUE!</v>
      </c>
      <c r="G192" s="6" t="e">
        <f t="shared" si="7"/>
        <v>#VALUE!</v>
      </c>
      <c r="H192" s="19">
        <f t="shared" si="8"/>
        <v>-171</v>
      </c>
      <c r="I192" s="25"/>
      <c r="J192" s="2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</row>
    <row r="193" spans="1:44">
      <c r="A193" s="43" t="s">
        <v>219</v>
      </c>
      <c r="B193" s="16"/>
      <c r="D193" s="1" t="s">
        <v>219</v>
      </c>
      <c r="E193" s="22"/>
      <c r="F193" s="12" t="e">
        <f t="shared" si="9"/>
        <v>#VALUE!</v>
      </c>
      <c r="G193" s="6" t="e">
        <f t="shared" si="7"/>
        <v>#VALUE!</v>
      </c>
      <c r="H193" s="19">
        <f t="shared" si="8"/>
        <v>-170</v>
      </c>
      <c r="I193" s="25"/>
      <c r="J193" s="2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</row>
    <row r="194" spans="1:44">
      <c r="A194" s="43" t="s">
        <v>220</v>
      </c>
      <c r="B194" s="16"/>
      <c r="D194" s="1" t="s">
        <v>220</v>
      </c>
      <c r="E194" s="22"/>
      <c r="F194" s="12" t="e">
        <f t="shared" si="9"/>
        <v>#VALUE!</v>
      </c>
      <c r="G194" s="6" t="e">
        <f t="shared" si="7"/>
        <v>#VALUE!</v>
      </c>
      <c r="H194" s="19">
        <f t="shared" si="8"/>
        <v>-169</v>
      </c>
      <c r="I194" s="25"/>
      <c r="J194" s="2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</row>
    <row r="195" spans="1:44">
      <c r="A195" s="43" t="s">
        <v>221</v>
      </c>
      <c r="B195" s="16"/>
      <c r="D195" s="1" t="s">
        <v>221</v>
      </c>
      <c r="E195" s="22"/>
      <c r="F195" s="12" t="e">
        <f t="shared" si="9"/>
        <v>#VALUE!</v>
      </c>
      <c r="G195" s="6" t="e">
        <f t="shared" si="7"/>
        <v>#VALUE!</v>
      </c>
      <c r="H195" s="19">
        <f t="shared" si="8"/>
        <v>-168</v>
      </c>
      <c r="I195" s="25"/>
      <c r="J195" s="2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</row>
    <row r="196" spans="1:44">
      <c r="A196" s="43" t="s">
        <v>222</v>
      </c>
      <c r="B196" s="16"/>
      <c r="D196" s="1" t="s">
        <v>222</v>
      </c>
      <c r="E196" s="22"/>
      <c r="F196" s="12" t="e">
        <f t="shared" si="9"/>
        <v>#VALUE!</v>
      </c>
      <c r="G196" s="6" t="e">
        <f t="shared" ref="G196:G259" si="10">SUBSTITUTE(E196,".",",")*100/100</f>
        <v>#VALUE!</v>
      </c>
      <c r="H196" s="19">
        <f t="shared" si="8"/>
        <v>-167</v>
      </c>
      <c r="I196" s="25"/>
      <c r="J196" s="2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</row>
    <row r="197" spans="1:44">
      <c r="A197" s="43" t="s">
        <v>223</v>
      </c>
      <c r="B197" s="16"/>
      <c r="D197" s="1" t="s">
        <v>223</v>
      </c>
      <c r="E197" s="22"/>
      <c r="F197" s="12" t="e">
        <f t="shared" si="9"/>
        <v>#VALUE!</v>
      </c>
      <c r="G197" s="6" t="e">
        <f t="shared" si="10"/>
        <v>#VALUE!</v>
      </c>
      <c r="H197" s="19">
        <f t="shared" ref="H197:H260" si="11">H196+1</f>
        <v>-166</v>
      </c>
      <c r="I197" s="25"/>
      <c r="J197" s="2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</row>
    <row r="198" spans="1:44">
      <c r="A198" s="43" t="s">
        <v>224</v>
      </c>
      <c r="B198" s="16"/>
      <c r="D198" s="1" t="s">
        <v>224</v>
      </c>
      <c r="E198" s="22"/>
      <c r="F198" s="12" t="e">
        <f t="shared" si="9"/>
        <v>#VALUE!</v>
      </c>
      <c r="G198" s="6" t="e">
        <f t="shared" si="10"/>
        <v>#VALUE!</v>
      </c>
      <c r="H198" s="19">
        <f t="shared" si="11"/>
        <v>-165</v>
      </c>
      <c r="I198" s="25"/>
      <c r="J198" s="2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</row>
    <row r="199" spans="1:44">
      <c r="A199" s="43" t="s">
        <v>225</v>
      </c>
      <c r="B199" s="16"/>
      <c r="D199" s="1" t="s">
        <v>225</v>
      </c>
      <c r="E199" s="22"/>
      <c r="F199" s="12" t="e">
        <f t="shared" ref="F199:F253" si="12">SUBSTITUTE(B199,".",",")*100/100</f>
        <v>#VALUE!</v>
      </c>
      <c r="G199" s="6" t="e">
        <f t="shared" si="10"/>
        <v>#VALUE!</v>
      </c>
      <c r="H199" s="19">
        <f t="shared" si="11"/>
        <v>-164</v>
      </c>
      <c r="I199" s="25"/>
      <c r="J199" s="2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</row>
    <row r="200" spans="1:44">
      <c r="A200" s="43" t="s">
        <v>226</v>
      </c>
      <c r="B200" s="16"/>
      <c r="D200" s="1" t="s">
        <v>226</v>
      </c>
      <c r="E200" s="22"/>
      <c r="F200" s="12" t="e">
        <f t="shared" si="12"/>
        <v>#VALUE!</v>
      </c>
      <c r="G200" s="6" t="e">
        <f t="shared" si="10"/>
        <v>#VALUE!</v>
      </c>
      <c r="H200" s="19">
        <f t="shared" si="11"/>
        <v>-163</v>
      </c>
      <c r="I200" s="25"/>
      <c r="J200" s="2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</row>
    <row r="201" spans="1:44">
      <c r="A201" s="43" t="s">
        <v>227</v>
      </c>
      <c r="B201" s="16"/>
      <c r="D201" s="1" t="s">
        <v>227</v>
      </c>
      <c r="E201" s="22"/>
      <c r="F201" s="12" t="e">
        <f t="shared" si="12"/>
        <v>#VALUE!</v>
      </c>
      <c r="G201" s="6" t="e">
        <f t="shared" si="10"/>
        <v>#VALUE!</v>
      </c>
      <c r="H201" s="19">
        <f t="shared" si="11"/>
        <v>-162</v>
      </c>
      <c r="I201" s="25"/>
      <c r="J201" s="2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</row>
    <row r="202" spans="1:44">
      <c r="A202" s="43" t="s">
        <v>228</v>
      </c>
      <c r="B202" s="16"/>
      <c r="D202" s="1" t="s">
        <v>228</v>
      </c>
      <c r="E202" s="22"/>
      <c r="F202" s="12" t="e">
        <f t="shared" si="12"/>
        <v>#VALUE!</v>
      </c>
      <c r="G202" s="6" t="e">
        <f t="shared" si="10"/>
        <v>#VALUE!</v>
      </c>
      <c r="H202" s="19">
        <f t="shared" si="11"/>
        <v>-161</v>
      </c>
      <c r="I202" s="25"/>
      <c r="J202" s="2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</row>
    <row r="203" spans="1:44">
      <c r="A203" s="43" t="s">
        <v>229</v>
      </c>
      <c r="B203" s="16"/>
      <c r="D203" s="1" t="s">
        <v>229</v>
      </c>
      <c r="E203" s="22"/>
      <c r="F203" s="12" t="e">
        <f t="shared" si="12"/>
        <v>#VALUE!</v>
      </c>
      <c r="G203" s="6" t="e">
        <f t="shared" si="10"/>
        <v>#VALUE!</v>
      </c>
      <c r="H203" s="19">
        <f t="shared" si="11"/>
        <v>-160</v>
      </c>
      <c r="I203" s="25"/>
      <c r="J203" s="2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</row>
    <row r="204" spans="1:44">
      <c r="A204" s="43" t="s">
        <v>230</v>
      </c>
      <c r="B204" s="16"/>
      <c r="D204" s="1" t="s">
        <v>230</v>
      </c>
      <c r="E204" s="22"/>
      <c r="F204" s="12" t="e">
        <f t="shared" si="12"/>
        <v>#VALUE!</v>
      </c>
      <c r="G204" s="6" t="e">
        <f t="shared" si="10"/>
        <v>#VALUE!</v>
      </c>
      <c r="H204" s="19">
        <f t="shared" si="11"/>
        <v>-159</v>
      </c>
      <c r="I204" s="25"/>
      <c r="J204" s="2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</row>
    <row r="205" spans="1:44">
      <c r="A205" s="43" t="s">
        <v>231</v>
      </c>
      <c r="B205" s="16"/>
      <c r="D205" s="1" t="s">
        <v>231</v>
      </c>
      <c r="E205" s="22"/>
      <c r="F205" s="12" t="e">
        <f t="shared" si="12"/>
        <v>#VALUE!</v>
      </c>
      <c r="G205" s="6" t="e">
        <f t="shared" si="10"/>
        <v>#VALUE!</v>
      </c>
      <c r="H205" s="19">
        <f t="shared" si="11"/>
        <v>-158</v>
      </c>
      <c r="I205" s="25"/>
      <c r="J205" s="2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</row>
    <row r="206" spans="1:44">
      <c r="A206" s="43" t="s">
        <v>232</v>
      </c>
      <c r="B206" s="16"/>
      <c r="D206" s="1" t="s">
        <v>232</v>
      </c>
      <c r="E206" s="22"/>
      <c r="F206" s="12" t="e">
        <f t="shared" si="12"/>
        <v>#VALUE!</v>
      </c>
      <c r="G206" s="6" t="e">
        <f t="shared" si="10"/>
        <v>#VALUE!</v>
      </c>
      <c r="H206" s="19">
        <f t="shared" si="11"/>
        <v>-157</v>
      </c>
      <c r="I206" s="25"/>
      <c r="J206" s="2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</row>
    <row r="207" spans="1:44">
      <c r="A207" s="43" t="s">
        <v>233</v>
      </c>
      <c r="B207" s="16"/>
      <c r="D207" s="1" t="s">
        <v>233</v>
      </c>
      <c r="E207" s="22"/>
      <c r="F207" s="12" t="e">
        <f t="shared" si="12"/>
        <v>#VALUE!</v>
      </c>
      <c r="G207" s="6" t="e">
        <f t="shared" si="10"/>
        <v>#VALUE!</v>
      </c>
      <c r="H207" s="19">
        <f t="shared" si="11"/>
        <v>-156</v>
      </c>
      <c r="I207" s="25"/>
      <c r="J207" s="2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</row>
    <row r="208" spans="1:44">
      <c r="A208" s="43" t="s">
        <v>234</v>
      </c>
      <c r="B208" s="16"/>
      <c r="D208" s="1" t="s">
        <v>234</v>
      </c>
      <c r="E208" s="22"/>
      <c r="F208" s="12" t="e">
        <f t="shared" si="12"/>
        <v>#VALUE!</v>
      </c>
      <c r="G208" s="6" t="e">
        <f t="shared" si="10"/>
        <v>#VALUE!</v>
      </c>
      <c r="H208" s="19">
        <f t="shared" si="11"/>
        <v>-155</v>
      </c>
      <c r="I208" s="25"/>
      <c r="J208" s="2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</row>
    <row r="209" spans="1:44">
      <c r="A209" s="43" t="s">
        <v>235</v>
      </c>
      <c r="B209" s="16"/>
      <c r="D209" s="1" t="s">
        <v>235</v>
      </c>
      <c r="E209" s="22"/>
      <c r="F209" s="12" t="e">
        <f t="shared" si="12"/>
        <v>#VALUE!</v>
      </c>
      <c r="G209" s="6" t="e">
        <f t="shared" si="10"/>
        <v>#VALUE!</v>
      </c>
      <c r="H209" s="19">
        <f t="shared" si="11"/>
        <v>-154</v>
      </c>
      <c r="I209" s="25"/>
      <c r="J209" s="2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</row>
    <row r="210" spans="1:44">
      <c r="A210" s="43" t="s">
        <v>236</v>
      </c>
      <c r="B210" s="16"/>
      <c r="D210" s="1" t="s">
        <v>236</v>
      </c>
      <c r="E210" s="22"/>
      <c r="F210" s="12" t="e">
        <f t="shared" si="12"/>
        <v>#VALUE!</v>
      </c>
      <c r="G210" s="6" t="e">
        <f t="shared" si="10"/>
        <v>#VALUE!</v>
      </c>
      <c r="H210" s="19">
        <f t="shared" si="11"/>
        <v>-153</v>
      </c>
      <c r="I210" s="25"/>
      <c r="J210" s="2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</row>
    <row r="211" spans="1:44">
      <c r="A211" s="43" t="s">
        <v>237</v>
      </c>
      <c r="B211" s="16"/>
      <c r="D211" s="1" t="s">
        <v>237</v>
      </c>
      <c r="E211" s="22"/>
      <c r="F211" s="12" t="e">
        <f t="shared" si="12"/>
        <v>#VALUE!</v>
      </c>
      <c r="G211" s="6" t="e">
        <f t="shared" si="10"/>
        <v>#VALUE!</v>
      </c>
      <c r="H211" s="19">
        <f t="shared" si="11"/>
        <v>-152</v>
      </c>
      <c r="I211" s="25"/>
      <c r="J211" s="2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</row>
    <row r="212" spans="1:44">
      <c r="A212" s="43" t="s">
        <v>238</v>
      </c>
      <c r="B212" s="16"/>
      <c r="D212" s="1" t="s">
        <v>238</v>
      </c>
      <c r="E212" s="22"/>
      <c r="F212" s="12" t="e">
        <f t="shared" si="12"/>
        <v>#VALUE!</v>
      </c>
      <c r="G212" s="6" t="e">
        <f t="shared" si="10"/>
        <v>#VALUE!</v>
      </c>
      <c r="H212" s="19">
        <f t="shared" si="11"/>
        <v>-151</v>
      </c>
      <c r="I212" s="25"/>
      <c r="J212" s="2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</row>
    <row r="213" spans="1:44">
      <c r="A213" s="43" t="s">
        <v>239</v>
      </c>
      <c r="B213" s="16"/>
      <c r="D213" s="1" t="s">
        <v>239</v>
      </c>
      <c r="E213" s="22"/>
      <c r="F213" s="12" t="e">
        <f t="shared" si="12"/>
        <v>#VALUE!</v>
      </c>
      <c r="G213" s="6" t="e">
        <f t="shared" si="10"/>
        <v>#VALUE!</v>
      </c>
      <c r="H213" s="19">
        <f t="shared" si="11"/>
        <v>-150</v>
      </c>
      <c r="I213" s="25"/>
      <c r="J213" s="2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</row>
    <row r="214" spans="1:44">
      <c r="A214" s="43" t="s">
        <v>240</v>
      </c>
      <c r="B214" s="16"/>
      <c r="D214" s="1" t="s">
        <v>240</v>
      </c>
      <c r="E214" s="22"/>
      <c r="F214" s="12" t="e">
        <f t="shared" si="12"/>
        <v>#VALUE!</v>
      </c>
      <c r="G214" s="6" t="e">
        <f t="shared" si="10"/>
        <v>#VALUE!</v>
      </c>
      <c r="H214" s="19">
        <f t="shared" si="11"/>
        <v>-149</v>
      </c>
      <c r="I214" s="25"/>
      <c r="J214" s="2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</row>
    <row r="215" spans="1:44">
      <c r="A215" s="43" t="s">
        <v>241</v>
      </c>
      <c r="B215" s="16"/>
      <c r="D215" s="1" t="s">
        <v>241</v>
      </c>
      <c r="E215" s="22"/>
      <c r="F215" s="12" t="e">
        <f t="shared" si="12"/>
        <v>#VALUE!</v>
      </c>
      <c r="G215" s="6" t="e">
        <f t="shared" si="10"/>
        <v>#VALUE!</v>
      </c>
      <c r="H215" s="19">
        <f t="shared" si="11"/>
        <v>-148</v>
      </c>
      <c r="I215" s="25"/>
      <c r="J215" s="2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</row>
    <row r="216" spans="1:44">
      <c r="A216" s="43" t="s">
        <v>242</v>
      </c>
      <c r="B216" s="16"/>
      <c r="D216" s="1" t="s">
        <v>242</v>
      </c>
      <c r="E216" s="22"/>
      <c r="F216" s="12" t="e">
        <f t="shared" si="12"/>
        <v>#VALUE!</v>
      </c>
      <c r="G216" s="6" t="e">
        <f t="shared" si="10"/>
        <v>#VALUE!</v>
      </c>
      <c r="H216" s="19">
        <f t="shared" si="11"/>
        <v>-147</v>
      </c>
      <c r="I216" s="25"/>
      <c r="J216" s="2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</row>
    <row r="217" spans="1:44">
      <c r="A217" s="43" t="s">
        <v>243</v>
      </c>
      <c r="B217" s="16"/>
      <c r="D217" s="1" t="s">
        <v>243</v>
      </c>
      <c r="E217" s="22"/>
      <c r="F217" s="12" t="e">
        <f t="shared" si="12"/>
        <v>#VALUE!</v>
      </c>
      <c r="G217" s="6" t="e">
        <f t="shared" si="10"/>
        <v>#VALUE!</v>
      </c>
      <c r="H217" s="19">
        <f t="shared" si="11"/>
        <v>-146</v>
      </c>
      <c r="I217" s="25"/>
      <c r="J217" s="2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</row>
    <row r="218" spans="1:44">
      <c r="A218" s="43" t="s">
        <v>244</v>
      </c>
      <c r="B218" s="16"/>
      <c r="D218" s="1" t="s">
        <v>244</v>
      </c>
      <c r="E218" s="22"/>
      <c r="F218" s="12" t="e">
        <f t="shared" si="12"/>
        <v>#VALUE!</v>
      </c>
      <c r="G218" s="6" t="e">
        <f t="shared" si="10"/>
        <v>#VALUE!</v>
      </c>
      <c r="H218" s="19">
        <f t="shared" si="11"/>
        <v>-145</v>
      </c>
      <c r="I218" s="25"/>
      <c r="J218" s="2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</row>
    <row r="219" spans="1:44">
      <c r="A219" s="43" t="s">
        <v>245</v>
      </c>
      <c r="B219" s="16"/>
      <c r="D219" s="1" t="s">
        <v>245</v>
      </c>
      <c r="E219" s="22"/>
      <c r="F219" s="12" t="e">
        <f t="shared" si="12"/>
        <v>#VALUE!</v>
      </c>
      <c r="G219" s="6" t="e">
        <f t="shared" si="10"/>
        <v>#VALUE!</v>
      </c>
      <c r="H219" s="19">
        <f t="shared" si="11"/>
        <v>-144</v>
      </c>
      <c r="I219" s="25"/>
      <c r="J219" s="2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</row>
    <row r="220" spans="1:44">
      <c r="A220" s="43" t="s">
        <v>246</v>
      </c>
      <c r="B220" s="16"/>
      <c r="D220" s="1" t="s">
        <v>246</v>
      </c>
      <c r="E220" s="22"/>
      <c r="F220" s="12" t="e">
        <f t="shared" si="12"/>
        <v>#VALUE!</v>
      </c>
      <c r="G220" s="6" t="e">
        <f t="shared" si="10"/>
        <v>#VALUE!</v>
      </c>
      <c r="H220" s="19">
        <f t="shared" si="11"/>
        <v>-143</v>
      </c>
      <c r="I220" s="25"/>
      <c r="J220" s="2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</row>
    <row r="221" spans="1:44">
      <c r="A221" s="43" t="s">
        <v>247</v>
      </c>
      <c r="B221" s="16"/>
      <c r="D221" s="1" t="s">
        <v>247</v>
      </c>
      <c r="E221" s="22"/>
      <c r="F221" s="12" t="e">
        <f t="shared" si="12"/>
        <v>#VALUE!</v>
      </c>
      <c r="G221" s="6" t="e">
        <f t="shared" si="10"/>
        <v>#VALUE!</v>
      </c>
      <c r="H221" s="19">
        <f t="shared" si="11"/>
        <v>-142</v>
      </c>
      <c r="I221" s="25"/>
      <c r="J221" s="2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</row>
    <row r="222" spans="1:44">
      <c r="A222" s="43" t="s">
        <v>248</v>
      </c>
      <c r="B222" s="16"/>
      <c r="D222" s="1" t="s">
        <v>248</v>
      </c>
      <c r="E222" s="22"/>
      <c r="F222" s="12" t="e">
        <f t="shared" si="12"/>
        <v>#VALUE!</v>
      </c>
      <c r="G222" s="6" t="e">
        <f t="shared" si="10"/>
        <v>#VALUE!</v>
      </c>
      <c r="H222" s="19">
        <f t="shared" si="11"/>
        <v>-141</v>
      </c>
      <c r="I222" s="25"/>
      <c r="J222" s="2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</row>
    <row r="223" spans="1:44">
      <c r="A223" s="43" t="s">
        <v>249</v>
      </c>
      <c r="B223" s="16"/>
      <c r="D223" s="1" t="s">
        <v>249</v>
      </c>
      <c r="E223" s="22"/>
      <c r="F223" s="12" t="e">
        <f t="shared" si="12"/>
        <v>#VALUE!</v>
      </c>
      <c r="G223" s="6" t="e">
        <f t="shared" si="10"/>
        <v>#VALUE!</v>
      </c>
      <c r="H223" s="19">
        <f t="shared" si="11"/>
        <v>-140</v>
      </c>
      <c r="I223" s="25"/>
      <c r="J223" s="2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</row>
    <row r="224" spans="1:44">
      <c r="A224" s="43" t="s">
        <v>250</v>
      </c>
      <c r="B224" s="16"/>
      <c r="D224" s="1" t="s">
        <v>250</v>
      </c>
      <c r="E224" s="22"/>
      <c r="F224" s="12" t="e">
        <f t="shared" si="12"/>
        <v>#VALUE!</v>
      </c>
      <c r="G224" s="6" t="e">
        <f t="shared" si="10"/>
        <v>#VALUE!</v>
      </c>
      <c r="H224" s="19">
        <f t="shared" si="11"/>
        <v>-139</v>
      </c>
      <c r="I224" s="25"/>
      <c r="J224" s="2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</row>
    <row r="225" spans="1:44">
      <c r="A225" s="43" t="s">
        <v>251</v>
      </c>
      <c r="B225" s="16"/>
      <c r="D225" s="1" t="s">
        <v>251</v>
      </c>
      <c r="E225" s="22"/>
      <c r="F225" s="12" t="e">
        <f t="shared" si="12"/>
        <v>#VALUE!</v>
      </c>
      <c r="G225" s="6" t="e">
        <f t="shared" si="10"/>
        <v>#VALUE!</v>
      </c>
      <c r="H225" s="19">
        <f t="shared" si="11"/>
        <v>-138</v>
      </c>
      <c r="I225" s="25"/>
      <c r="J225" s="2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</row>
    <row r="226" spans="1:44">
      <c r="A226" s="43" t="s">
        <v>252</v>
      </c>
      <c r="B226" s="16"/>
      <c r="D226" s="1" t="s">
        <v>252</v>
      </c>
      <c r="E226" s="22"/>
      <c r="F226" s="12" t="e">
        <f t="shared" si="12"/>
        <v>#VALUE!</v>
      </c>
      <c r="G226" s="6" t="e">
        <f t="shared" si="10"/>
        <v>#VALUE!</v>
      </c>
      <c r="H226" s="19">
        <f t="shared" si="11"/>
        <v>-137</v>
      </c>
      <c r="I226" s="25"/>
      <c r="J226" s="2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</row>
    <row r="227" spans="1:44">
      <c r="A227" s="43" t="s">
        <v>253</v>
      </c>
      <c r="B227" s="16"/>
      <c r="D227" s="1" t="s">
        <v>253</v>
      </c>
      <c r="E227" s="22"/>
      <c r="F227" s="12" t="e">
        <f t="shared" si="12"/>
        <v>#VALUE!</v>
      </c>
      <c r="G227" s="6" t="e">
        <f t="shared" si="10"/>
        <v>#VALUE!</v>
      </c>
      <c r="H227" s="19">
        <f t="shared" si="11"/>
        <v>-136</v>
      </c>
      <c r="I227" s="25"/>
      <c r="J227" s="2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</row>
    <row r="228" spans="1:44">
      <c r="A228" s="43" t="s">
        <v>254</v>
      </c>
      <c r="B228" s="16"/>
      <c r="D228" s="1" t="s">
        <v>254</v>
      </c>
      <c r="E228" s="22"/>
      <c r="F228" s="12" t="e">
        <f t="shared" si="12"/>
        <v>#VALUE!</v>
      </c>
      <c r="G228" s="6" t="e">
        <f t="shared" si="10"/>
        <v>#VALUE!</v>
      </c>
      <c r="H228" s="19">
        <f t="shared" si="11"/>
        <v>-135</v>
      </c>
      <c r="I228" s="25"/>
      <c r="J228" s="2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</row>
    <row r="229" spans="1:44">
      <c r="A229" s="43" t="s">
        <v>255</v>
      </c>
      <c r="B229" s="16"/>
      <c r="D229" s="1" t="s">
        <v>255</v>
      </c>
      <c r="E229" s="22"/>
      <c r="F229" s="12" t="e">
        <f t="shared" si="12"/>
        <v>#VALUE!</v>
      </c>
      <c r="G229" s="6" t="e">
        <f t="shared" si="10"/>
        <v>#VALUE!</v>
      </c>
      <c r="H229" s="19">
        <f t="shared" si="11"/>
        <v>-134</v>
      </c>
      <c r="I229" s="25"/>
      <c r="J229" s="2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</row>
    <row r="230" spans="1:44">
      <c r="A230" s="43" t="s">
        <v>256</v>
      </c>
      <c r="B230" s="16"/>
      <c r="D230" s="1" t="s">
        <v>256</v>
      </c>
      <c r="E230" s="22"/>
      <c r="F230" s="12" t="e">
        <f t="shared" si="12"/>
        <v>#VALUE!</v>
      </c>
      <c r="G230" s="6" t="e">
        <f t="shared" si="10"/>
        <v>#VALUE!</v>
      </c>
      <c r="H230" s="19">
        <f t="shared" si="11"/>
        <v>-133</v>
      </c>
      <c r="I230" s="25"/>
      <c r="J230" s="2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</row>
    <row r="231" spans="1:44">
      <c r="A231" s="43" t="s">
        <v>257</v>
      </c>
      <c r="B231" s="16"/>
      <c r="D231" s="1" t="s">
        <v>257</v>
      </c>
      <c r="E231" s="22"/>
      <c r="F231" s="12" t="e">
        <f t="shared" si="12"/>
        <v>#VALUE!</v>
      </c>
      <c r="G231" s="6" t="e">
        <f t="shared" si="10"/>
        <v>#VALUE!</v>
      </c>
      <c r="H231" s="19">
        <f t="shared" si="11"/>
        <v>-132</v>
      </c>
      <c r="I231" s="25"/>
      <c r="J231" s="2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</row>
    <row r="232" spans="1:44">
      <c r="A232" s="43" t="s">
        <v>258</v>
      </c>
      <c r="B232" s="16"/>
      <c r="D232" s="1" t="s">
        <v>258</v>
      </c>
      <c r="E232" s="22"/>
      <c r="F232" s="12" t="e">
        <f t="shared" si="12"/>
        <v>#VALUE!</v>
      </c>
      <c r="G232" s="6" t="e">
        <f t="shared" si="10"/>
        <v>#VALUE!</v>
      </c>
      <c r="H232" s="19">
        <f t="shared" si="11"/>
        <v>-131</v>
      </c>
      <c r="I232" s="25"/>
      <c r="J232" s="2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</row>
    <row r="233" spans="1:44">
      <c r="A233" s="43" t="s">
        <v>259</v>
      </c>
      <c r="B233" s="16"/>
      <c r="D233" s="1" t="s">
        <v>259</v>
      </c>
      <c r="E233" s="22"/>
      <c r="F233" s="12" t="e">
        <f t="shared" si="12"/>
        <v>#VALUE!</v>
      </c>
      <c r="G233" s="6" t="e">
        <f t="shared" si="10"/>
        <v>#VALUE!</v>
      </c>
      <c r="H233" s="19">
        <f t="shared" si="11"/>
        <v>-130</v>
      </c>
      <c r="I233" s="25"/>
      <c r="J233" s="2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</row>
    <row r="234" spans="1:44">
      <c r="A234" s="43" t="s">
        <v>260</v>
      </c>
      <c r="B234" s="16"/>
      <c r="D234" s="1" t="s">
        <v>260</v>
      </c>
      <c r="E234" s="22"/>
      <c r="F234" s="12" t="e">
        <f t="shared" si="12"/>
        <v>#VALUE!</v>
      </c>
      <c r="G234" s="6" t="e">
        <f t="shared" si="10"/>
        <v>#VALUE!</v>
      </c>
      <c r="H234" s="19">
        <f t="shared" si="11"/>
        <v>-129</v>
      </c>
      <c r="I234" s="25"/>
      <c r="J234" s="2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</row>
    <row r="235" spans="1:44">
      <c r="A235" s="43" t="s">
        <v>261</v>
      </c>
      <c r="B235" s="16"/>
      <c r="D235" s="1" t="s">
        <v>261</v>
      </c>
      <c r="E235" s="22"/>
      <c r="F235" s="12" t="e">
        <f t="shared" si="12"/>
        <v>#VALUE!</v>
      </c>
      <c r="G235" s="6" t="e">
        <f t="shared" si="10"/>
        <v>#VALUE!</v>
      </c>
      <c r="H235" s="19">
        <f t="shared" si="11"/>
        <v>-128</v>
      </c>
      <c r="I235" s="25"/>
      <c r="J235" s="2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</row>
    <row r="236" spans="1:44">
      <c r="A236" s="43" t="s">
        <v>262</v>
      </c>
      <c r="B236" s="16"/>
      <c r="D236" s="1" t="s">
        <v>262</v>
      </c>
      <c r="E236" s="22"/>
      <c r="F236" s="12" t="e">
        <f t="shared" si="12"/>
        <v>#VALUE!</v>
      </c>
      <c r="G236" s="6" t="e">
        <f t="shared" si="10"/>
        <v>#VALUE!</v>
      </c>
      <c r="H236" s="19">
        <f t="shared" si="11"/>
        <v>-127</v>
      </c>
      <c r="I236" s="25"/>
      <c r="J236" s="2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</row>
    <row r="237" spans="1:44">
      <c r="A237" s="43" t="s">
        <v>263</v>
      </c>
      <c r="B237" s="16"/>
      <c r="D237" s="1" t="s">
        <v>263</v>
      </c>
      <c r="E237" s="22"/>
      <c r="F237" s="12" t="e">
        <f t="shared" si="12"/>
        <v>#VALUE!</v>
      </c>
      <c r="G237" s="6" t="e">
        <f t="shared" si="10"/>
        <v>#VALUE!</v>
      </c>
      <c r="H237" s="19">
        <f t="shared" si="11"/>
        <v>-126</v>
      </c>
      <c r="I237" s="25"/>
      <c r="J237" s="2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</row>
    <row r="238" spans="1:44">
      <c r="A238" s="43" t="s">
        <v>264</v>
      </c>
      <c r="B238" s="16"/>
      <c r="D238" s="1" t="s">
        <v>264</v>
      </c>
      <c r="E238" s="22"/>
      <c r="F238" s="12" t="e">
        <f t="shared" si="12"/>
        <v>#VALUE!</v>
      </c>
      <c r="G238" s="6" t="e">
        <f t="shared" si="10"/>
        <v>#VALUE!</v>
      </c>
      <c r="H238" s="19">
        <f t="shared" si="11"/>
        <v>-125</v>
      </c>
      <c r="I238" s="25"/>
      <c r="J238" s="2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</row>
    <row r="239" spans="1:44">
      <c r="A239" s="43" t="s">
        <v>265</v>
      </c>
      <c r="B239" s="16"/>
      <c r="D239" s="1" t="s">
        <v>265</v>
      </c>
      <c r="E239" s="22"/>
      <c r="F239" s="12" t="e">
        <f t="shared" si="12"/>
        <v>#VALUE!</v>
      </c>
      <c r="G239" s="6" t="e">
        <f t="shared" si="10"/>
        <v>#VALUE!</v>
      </c>
      <c r="H239" s="19">
        <f t="shared" si="11"/>
        <v>-124</v>
      </c>
      <c r="I239" s="25"/>
      <c r="J239" s="2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</row>
    <row r="240" spans="1:44">
      <c r="A240" s="43" t="s">
        <v>266</v>
      </c>
      <c r="B240" s="16"/>
      <c r="D240" s="1" t="s">
        <v>266</v>
      </c>
      <c r="E240" s="22"/>
      <c r="F240" s="12" t="e">
        <f t="shared" si="12"/>
        <v>#VALUE!</v>
      </c>
      <c r="G240" s="6" t="e">
        <f t="shared" si="10"/>
        <v>#VALUE!</v>
      </c>
      <c r="H240" s="19">
        <f t="shared" si="11"/>
        <v>-123</v>
      </c>
      <c r="I240" s="25"/>
      <c r="J240" s="2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</row>
    <row r="241" spans="1:44">
      <c r="A241" s="43" t="s">
        <v>267</v>
      </c>
      <c r="B241" s="16"/>
      <c r="D241" s="1" t="s">
        <v>267</v>
      </c>
      <c r="E241" s="22"/>
      <c r="F241" s="12" t="e">
        <f t="shared" si="12"/>
        <v>#VALUE!</v>
      </c>
      <c r="G241" s="6" t="e">
        <f t="shared" si="10"/>
        <v>#VALUE!</v>
      </c>
      <c r="H241" s="19">
        <f t="shared" si="11"/>
        <v>-122</v>
      </c>
      <c r="I241" s="25"/>
      <c r="J241" s="2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</row>
    <row r="242" spans="1:44">
      <c r="A242" s="43" t="s">
        <v>268</v>
      </c>
      <c r="B242" s="16"/>
      <c r="D242" s="1" t="s">
        <v>268</v>
      </c>
      <c r="E242" s="22"/>
      <c r="F242" s="12" t="e">
        <f t="shared" si="12"/>
        <v>#VALUE!</v>
      </c>
      <c r="G242" s="6" t="e">
        <f t="shared" si="10"/>
        <v>#VALUE!</v>
      </c>
      <c r="H242" s="19">
        <f t="shared" si="11"/>
        <v>-121</v>
      </c>
      <c r="I242" s="25"/>
      <c r="J242" s="2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</row>
    <row r="243" spans="1:44">
      <c r="A243" s="43" t="s">
        <v>269</v>
      </c>
      <c r="B243" s="16"/>
      <c r="D243" s="1" t="s">
        <v>269</v>
      </c>
      <c r="E243" s="22"/>
      <c r="F243" s="12" t="e">
        <f t="shared" si="12"/>
        <v>#VALUE!</v>
      </c>
      <c r="G243" s="6" t="e">
        <f t="shared" si="10"/>
        <v>#VALUE!</v>
      </c>
      <c r="H243" s="19">
        <f t="shared" si="11"/>
        <v>-120</v>
      </c>
      <c r="I243" s="25"/>
      <c r="J243" s="2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</row>
    <row r="244" spans="1:44">
      <c r="A244" s="43" t="s">
        <v>270</v>
      </c>
      <c r="B244" s="16"/>
      <c r="D244" s="1" t="s">
        <v>270</v>
      </c>
      <c r="E244" s="22"/>
      <c r="F244" s="12" t="e">
        <f t="shared" si="12"/>
        <v>#VALUE!</v>
      </c>
      <c r="G244" s="6" t="e">
        <f t="shared" si="10"/>
        <v>#VALUE!</v>
      </c>
      <c r="H244" s="19">
        <f t="shared" si="11"/>
        <v>-119</v>
      </c>
      <c r="I244" s="25"/>
      <c r="J244" s="2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</row>
    <row r="245" spans="1:44">
      <c r="A245" s="43" t="s">
        <v>271</v>
      </c>
      <c r="B245" s="16"/>
      <c r="D245" s="1" t="s">
        <v>271</v>
      </c>
      <c r="E245" s="22"/>
      <c r="F245" s="12" t="e">
        <f t="shared" si="12"/>
        <v>#VALUE!</v>
      </c>
      <c r="G245" s="6" t="e">
        <f t="shared" si="10"/>
        <v>#VALUE!</v>
      </c>
      <c r="H245" s="19">
        <f t="shared" si="11"/>
        <v>-118</v>
      </c>
      <c r="I245" s="25"/>
      <c r="J245" s="2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</row>
    <row r="246" spans="1:44">
      <c r="A246" s="43" t="s">
        <v>272</v>
      </c>
      <c r="B246" s="16"/>
      <c r="D246" s="1" t="s">
        <v>272</v>
      </c>
      <c r="E246" s="22"/>
      <c r="F246" s="12" t="e">
        <f t="shared" si="12"/>
        <v>#VALUE!</v>
      </c>
      <c r="G246" s="6" t="e">
        <f t="shared" si="10"/>
        <v>#VALUE!</v>
      </c>
      <c r="H246" s="19">
        <f t="shared" si="11"/>
        <v>-117</v>
      </c>
      <c r="I246" s="25"/>
      <c r="J246" s="2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</row>
    <row r="247" spans="1:44">
      <c r="A247" s="43" t="s">
        <v>273</v>
      </c>
      <c r="B247" s="16"/>
      <c r="D247" s="1" t="s">
        <v>273</v>
      </c>
      <c r="E247" s="22"/>
      <c r="F247" s="12" t="e">
        <f t="shared" si="12"/>
        <v>#VALUE!</v>
      </c>
      <c r="G247" s="6" t="e">
        <f t="shared" si="10"/>
        <v>#VALUE!</v>
      </c>
      <c r="H247" s="19">
        <f t="shared" si="11"/>
        <v>-116</v>
      </c>
      <c r="I247" s="25"/>
      <c r="J247" s="2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</row>
    <row r="248" spans="1:44">
      <c r="A248" s="43" t="s">
        <v>274</v>
      </c>
      <c r="B248" s="16"/>
      <c r="D248" s="1" t="s">
        <v>274</v>
      </c>
      <c r="E248" s="22"/>
      <c r="F248" s="12" t="e">
        <f t="shared" si="12"/>
        <v>#VALUE!</v>
      </c>
      <c r="G248" s="6" t="e">
        <f t="shared" si="10"/>
        <v>#VALUE!</v>
      </c>
      <c r="H248" s="19">
        <f t="shared" si="11"/>
        <v>-115</v>
      </c>
      <c r="I248" s="25"/>
      <c r="J248" s="2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</row>
    <row r="249" spans="1:44">
      <c r="A249" s="43" t="s">
        <v>275</v>
      </c>
      <c r="B249" s="16"/>
      <c r="D249" s="1" t="s">
        <v>275</v>
      </c>
      <c r="E249" s="22"/>
      <c r="F249" s="12" t="e">
        <f t="shared" si="12"/>
        <v>#VALUE!</v>
      </c>
      <c r="G249" s="6" t="e">
        <f t="shared" si="10"/>
        <v>#VALUE!</v>
      </c>
      <c r="H249" s="19">
        <f t="shared" si="11"/>
        <v>-114</v>
      </c>
      <c r="I249" s="25"/>
      <c r="J249" s="2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</row>
    <row r="250" spans="1:44">
      <c r="A250" s="43" t="s">
        <v>276</v>
      </c>
      <c r="B250" s="16"/>
      <c r="D250" s="1" t="s">
        <v>276</v>
      </c>
      <c r="E250" s="22"/>
      <c r="F250" s="12" t="e">
        <f t="shared" si="12"/>
        <v>#VALUE!</v>
      </c>
      <c r="G250" s="6" t="e">
        <f t="shared" si="10"/>
        <v>#VALUE!</v>
      </c>
      <c r="H250" s="19">
        <f t="shared" si="11"/>
        <v>-113</v>
      </c>
      <c r="I250" s="25"/>
      <c r="J250" s="2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</row>
    <row r="251" spans="1:44">
      <c r="A251" s="43" t="s">
        <v>277</v>
      </c>
      <c r="B251" s="16"/>
      <c r="D251" s="1" t="s">
        <v>277</v>
      </c>
      <c r="E251" s="22"/>
      <c r="F251" s="12" t="e">
        <f t="shared" si="12"/>
        <v>#VALUE!</v>
      </c>
      <c r="G251" s="6" t="e">
        <f t="shared" si="10"/>
        <v>#VALUE!</v>
      </c>
      <c r="H251" s="19">
        <f t="shared" si="11"/>
        <v>-112</v>
      </c>
      <c r="I251" s="25"/>
      <c r="J251" s="2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</row>
    <row r="252" spans="1:44">
      <c r="A252" s="43" t="s">
        <v>278</v>
      </c>
      <c r="B252" s="16"/>
      <c r="D252" s="1" t="s">
        <v>278</v>
      </c>
      <c r="E252" s="22"/>
      <c r="F252" s="12" t="e">
        <f t="shared" si="12"/>
        <v>#VALUE!</v>
      </c>
      <c r="G252" s="6" t="e">
        <f t="shared" si="10"/>
        <v>#VALUE!</v>
      </c>
      <c r="H252" s="19">
        <f t="shared" si="11"/>
        <v>-111</v>
      </c>
      <c r="I252" s="25"/>
      <c r="J252" s="2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</row>
    <row r="253" spans="1:44">
      <c r="A253" s="43" t="s">
        <v>279</v>
      </c>
      <c r="B253" s="16"/>
      <c r="D253" s="1" t="s">
        <v>279</v>
      </c>
      <c r="E253" s="22"/>
      <c r="F253" s="12" t="e">
        <f t="shared" si="12"/>
        <v>#VALUE!</v>
      </c>
      <c r="G253" s="6" t="e">
        <f t="shared" si="10"/>
        <v>#VALUE!</v>
      </c>
      <c r="H253" s="19">
        <f t="shared" si="11"/>
        <v>-110</v>
      </c>
      <c r="I253" s="25"/>
      <c r="J253" s="2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</row>
    <row r="254" spans="1:44">
      <c r="A254" s="43" t="s">
        <v>280</v>
      </c>
      <c r="B254" s="16"/>
      <c r="D254" s="1" t="s">
        <v>280</v>
      </c>
      <c r="E254" s="22"/>
      <c r="F254" s="12" t="e">
        <f>SUBSTITUTE(B254,".",",")*100/100</f>
        <v>#VALUE!</v>
      </c>
      <c r="G254" s="6" t="e">
        <f t="shared" si="10"/>
        <v>#VALUE!</v>
      </c>
      <c r="H254" s="19">
        <f t="shared" si="11"/>
        <v>-109</v>
      </c>
      <c r="I254" s="25"/>
      <c r="J254" s="2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</row>
    <row r="255" spans="1:44">
      <c r="A255" s="43" t="s">
        <v>281</v>
      </c>
      <c r="B255" s="16"/>
      <c r="D255" s="1" t="s">
        <v>281</v>
      </c>
      <c r="E255" s="22"/>
      <c r="F255" s="12" t="e">
        <f t="shared" ref="F255:F317" si="13">SUBSTITUTE(B255,".",",")*100/100</f>
        <v>#VALUE!</v>
      </c>
      <c r="G255" s="6" t="e">
        <f t="shared" si="10"/>
        <v>#VALUE!</v>
      </c>
      <c r="H255" s="19">
        <f t="shared" si="11"/>
        <v>-108</v>
      </c>
      <c r="I255" s="25"/>
      <c r="J255" s="2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</row>
    <row r="256" spans="1:44">
      <c r="A256" s="43" t="s">
        <v>282</v>
      </c>
      <c r="B256" s="16"/>
      <c r="D256" s="1" t="s">
        <v>282</v>
      </c>
      <c r="E256" s="22"/>
      <c r="F256" s="12" t="e">
        <f t="shared" si="13"/>
        <v>#VALUE!</v>
      </c>
      <c r="G256" s="6" t="e">
        <f t="shared" si="10"/>
        <v>#VALUE!</v>
      </c>
      <c r="H256" s="19">
        <f t="shared" si="11"/>
        <v>-107</v>
      </c>
      <c r="I256" s="25"/>
      <c r="J256" s="2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</row>
    <row r="257" spans="1:44">
      <c r="A257" s="43" t="s">
        <v>283</v>
      </c>
      <c r="B257" s="16"/>
      <c r="D257" s="1" t="s">
        <v>283</v>
      </c>
      <c r="E257" s="22"/>
      <c r="F257" s="12" t="e">
        <f t="shared" si="13"/>
        <v>#VALUE!</v>
      </c>
      <c r="G257" s="6" t="e">
        <f t="shared" si="10"/>
        <v>#VALUE!</v>
      </c>
      <c r="H257" s="19">
        <f t="shared" si="11"/>
        <v>-106</v>
      </c>
      <c r="I257" s="25"/>
      <c r="J257" s="2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</row>
    <row r="258" spans="1:44">
      <c r="A258" s="43" t="s">
        <v>284</v>
      </c>
      <c r="B258" s="16"/>
      <c r="D258" s="1" t="s">
        <v>284</v>
      </c>
      <c r="E258" s="22"/>
      <c r="F258" s="12" t="e">
        <f t="shared" si="13"/>
        <v>#VALUE!</v>
      </c>
      <c r="G258" s="6" t="e">
        <f t="shared" si="10"/>
        <v>#VALUE!</v>
      </c>
      <c r="H258" s="19">
        <f t="shared" si="11"/>
        <v>-105</v>
      </c>
      <c r="I258" s="25"/>
      <c r="J258" s="2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</row>
    <row r="259" spans="1:44">
      <c r="A259" s="43" t="s">
        <v>285</v>
      </c>
      <c r="B259" s="16"/>
      <c r="D259" s="1" t="s">
        <v>285</v>
      </c>
      <c r="E259" s="22"/>
      <c r="F259" s="12" t="e">
        <f t="shared" si="13"/>
        <v>#VALUE!</v>
      </c>
      <c r="G259" s="6" t="e">
        <f t="shared" si="10"/>
        <v>#VALUE!</v>
      </c>
      <c r="H259" s="19">
        <f t="shared" si="11"/>
        <v>-104</v>
      </c>
      <c r="I259" s="25"/>
      <c r="J259" s="2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</row>
    <row r="260" spans="1:44">
      <c r="A260" s="43" t="s">
        <v>286</v>
      </c>
      <c r="B260" s="16"/>
      <c r="D260" s="1" t="s">
        <v>286</v>
      </c>
      <c r="E260" s="22"/>
      <c r="F260" s="12" t="e">
        <f t="shared" si="13"/>
        <v>#VALUE!</v>
      </c>
      <c r="G260" s="6" t="e">
        <f t="shared" ref="G260:G323" si="14">SUBSTITUTE(E260,".",",")*100/100</f>
        <v>#VALUE!</v>
      </c>
      <c r="H260" s="19">
        <f t="shared" si="11"/>
        <v>-103</v>
      </c>
      <c r="I260" s="25"/>
      <c r="J260" s="2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</row>
    <row r="261" spans="1:44">
      <c r="A261" s="43" t="s">
        <v>287</v>
      </c>
      <c r="B261" s="16"/>
      <c r="D261" s="1" t="s">
        <v>287</v>
      </c>
      <c r="E261" s="22"/>
      <c r="F261" s="12" t="e">
        <f t="shared" si="13"/>
        <v>#VALUE!</v>
      </c>
      <c r="G261" s="6" t="e">
        <f t="shared" si="14"/>
        <v>#VALUE!</v>
      </c>
      <c r="H261" s="19">
        <f t="shared" ref="H261:H324" si="15">H260+1</f>
        <v>-102</v>
      </c>
      <c r="I261" s="25"/>
      <c r="J261" s="2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</row>
    <row r="262" spans="1:44">
      <c r="A262" s="43" t="s">
        <v>288</v>
      </c>
      <c r="B262" s="16"/>
      <c r="D262" s="1" t="s">
        <v>288</v>
      </c>
      <c r="E262" s="22"/>
      <c r="F262" s="12" t="e">
        <f t="shared" si="13"/>
        <v>#VALUE!</v>
      </c>
      <c r="G262" s="6" t="e">
        <f t="shared" si="14"/>
        <v>#VALUE!</v>
      </c>
      <c r="H262" s="19">
        <f t="shared" si="15"/>
        <v>-101</v>
      </c>
      <c r="I262" s="25"/>
      <c r="J262" s="2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</row>
    <row r="263" spans="1:44">
      <c r="A263" s="43" t="s">
        <v>289</v>
      </c>
      <c r="B263" s="16"/>
      <c r="D263" s="1" t="s">
        <v>289</v>
      </c>
      <c r="E263" s="22"/>
      <c r="F263" s="12" t="e">
        <f t="shared" si="13"/>
        <v>#VALUE!</v>
      </c>
      <c r="G263" s="6" t="e">
        <f t="shared" si="14"/>
        <v>#VALUE!</v>
      </c>
      <c r="H263" s="19">
        <f t="shared" si="15"/>
        <v>-100</v>
      </c>
      <c r="I263" s="25"/>
      <c r="J263" s="2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</row>
    <row r="264" spans="1:44">
      <c r="A264" s="43" t="s">
        <v>290</v>
      </c>
      <c r="B264" s="16"/>
      <c r="D264" s="1" t="s">
        <v>290</v>
      </c>
      <c r="E264" s="22"/>
      <c r="F264" s="12" t="e">
        <f t="shared" si="13"/>
        <v>#VALUE!</v>
      </c>
      <c r="G264" s="6" t="e">
        <f t="shared" si="14"/>
        <v>#VALUE!</v>
      </c>
      <c r="H264" s="19">
        <f t="shared" si="15"/>
        <v>-99</v>
      </c>
      <c r="I264" s="25"/>
      <c r="J264" s="2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</row>
    <row r="265" spans="1:44">
      <c r="A265" s="43" t="s">
        <v>291</v>
      </c>
      <c r="B265" s="16"/>
      <c r="D265" s="1" t="s">
        <v>291</v>
      </c>
      <c r="E265" s="22"/>
      <c r="F265" s="12" t="e">
        <f t="shared" si="13"/>
        <v>#VALUE!</v>
      </c>
      <c r="G265" s="6" t="e">
        <f t="shared" si="14"/>
        <v>#VALUE!</v>
      </c>
      <c r="H265" s="19">
        <f t="shared" si="15"/>
        <v>-98</v>
      </c>
      <c r="I265" s="25"/>
      <c r="J265" s="2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</row>
    <row r="266" spans="1:44">
      <c r="A266" s="43" t="s">
        <v>292</v>
      </c>
      <c r="B266" s="16"/>
      <c r="D266" s="1" t="s">
        <v>292</v>
      </c>
      <c r="E266" s="22"/>
      <c r="F266" s="12" t="e">
        <f t="shared" si="13"/>
        <v>#VALUE!</v>
      </c>
      <c r="G266" s="6" t="e">
        <f t="shared" si="14"/>
        <v>#VALUE!</v>
      </c>
      <c r="H266" s="19">
        <f t="shared" si="15"/>
        <v>-97</v>
      </c>
      <c r="I266" s="25"/>
      <c r="J266" s="2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</row>
    <row r="267" spans="1:44">
      <c r="A267" s="43" t="s">
        <v>293</v>
      </c>
      <c r="B267" s="16"/>
      <c r="D267" s="1" t="s">
        <v>293</v>
      </c>
      <c r="E267" s="22"/>
      <c r="F267" s="12" t="e">
        <f t="shared" si="13"/>
        <v>#VALUE!</v>
      </c>
      <c r="G267" s="6" t="e">
        <f t="shared" si="14"/>
        <v>#VALUE!</v>
      </c>
      <c r="H267" s="19">
        <f t="shared" si="15"/>
        <v>-96</v>
      </c>
      <c r="I267" s="25"/>
      <c r="J267" s="2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</row>
    <row r="268" spans="1:44">
      <c r="A268" s="43" t="s">
        <v>294</v>
      </c>
      <c r="B268" s="16"/>
      <c r="D268" s="1" t="s">
        <v>294</v>
      </c>
      <c r="E268" s="22"/>
      <c r="F268" s="12" t="e">
        <f t="shared" si="13"/>
        <v>#VALUE!</v>
      </c>
      <c r="G268" s="6" t="e">
        <f t="shared" si="14"/>
        <v>#VALUE!</v>
      </c>
      <c r="H268" s="19">
        <f t="shared" si="15"/>
        <v>-95</v>
      </c>
      <c r="I268" s="25"/>
      <c r="J268" s="2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</row>
    <row r="269" spans="1:44">
      <c r="A269" s="43" t="s">
        <v>295</v>
      </c>
      <c r="B269" s="16"/>
      <c r="D269" s="1" t="s">
        <v>295</v>
      </c>
      <c r="E269" s="22"/>
      <c r="F269" s="12" t="e">
        <f t="shared" si="13"/>
        <v>#VALUE!</v>
      </c>
      <c r="G269" s="6" t="e">
        <f t="shared" si="14"/>
        <v>#VALUE!</v>
      </c>
      <c r="H269" s="19">
        <f t="shared" si="15"/>
        <v>-94</v>
      </c>
      <c r="I269" s="25"/>
      <c r="J269" s="2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</row>
    <row r="270" spans="1:44">
      <c r="A270" s="43" t="s">
        <v>296</v>
      </c>
      <c r="B270" s="16"/>
      <c r="D270" s="1" t="s">
        <v>296</v>
      </c>
      <c r="E270" s="22"/>
      <c r="F270" s="12" t="e">
        <f t="shared" si="13"/>
        <v>#VALUE!</v>
      </c>
      <c r="G270" s="6" t="e">
        <f t="shared" si="14"/>
        <v>#VALUE!</v>
      </c>
      <c r="H270" s="19">
        <f t="shared" si="15"/>
        <v>-93</v>
      </c>
      <c r="I270" s="25"/>
      <c r="J270" s="2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</row>
    <row r="271" spans="1:44">
      <c r="A271" s="43" t="s">
        <v>297</v>
      </c>
      <c r="B271" s="16"/>
      <c r="D271" s="1" t="s">
        <v>297</v>
      </c>
      <c r="E271" s="22"/>
      <c r="F271" s="12" t="e">
        <f t="shared" si="13"/>
        <v>#VALUE!</v>
      </c>
      <c r="G271" s="6" t="e">
        <f t="shared" si="14"/>
        <v>#VALUE!</v>
      </c>
      <c r="H271" s="19">
        <f t="shared" si="15"/>
        <v>-92</v>
      </c>
      <c r="I271" s="25"/>
      <c r="J271" s="2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</row>
    <row r="272" spans="1:44">
      <c r="A272" s="43" t="s">
        <v>298</v>
      </c>
      <c r="B272" s="16"/>
      <c r="D272" s="1" t="s">
        <v>298</v>
      </c>
      <c r="E272" s="22"/>
      <c r="F272" s="12" t="e">
        <f t="shared" si="13"/>
        <v>#VALUE!</v>
      </c>
      <c r="G272" s="6" t="e">
        <f t="shared" si="14"/>
        <v>#VALUE!</v>
      </c>
      <c r="H272" s="19">
        <f t="shared" si="15"/>
        <v>-91</v>
      </c>
      <c r="I272" s="25"/>
      <c r="J272" s="2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</row>
    <row r="273" spans="1:44">
      <c r="A273" s="43" t="s">
        <v>299</v>
      </c>
      <c r="B273" s="16"/>
      <c r="D273" s="1" t="s">
        <v>299</v>
      </c>
      <c r="E273" s="22"/>
      <c r="F273" s="12" t="e">
        <f t="shared" si="13"/>
        <v>#VALUE!</v>
      </c>
      <c r="G273" s="6" t="e">
        <f t="shared" si="14"/>
        <v>#VALUE!</v>
      </c>
      <c r="H273" s="19">
        <f t="shared" si="15"/>
        <v>-90</v>
      </c>
      <c r="I273" s="25"/>
      <c r="J273" s="2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</row>
    <row r="274" spans="1:44">
      <c r="A274" s="43" t="s">
        <v>300</v>
      </c>
      <c r="B274" s="16"/>
      <c r="D274" s="1" t="s">
        <v>300</v>
      </c>
      <c r="E274" s="22"/>
      <c r="F274" s="12" t="e">
        <f t="shared" si="13"/>
        <v>#VALUE!</v>
      </c>
      <c r="G274" s="6" t="e">
        <f t="shared" si="14"/>
        <v>#VALUE!</v>
      </c>
      <c r="H274" s="19">
        <f t="shared" si="15"/>
        <v>-89</v>
      </c>
      <c r="I274" s="25"/>
      <c r="J274" s="2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</row>
    <row r="275" spans="1:44">
      <c r="A275" s="43" t="s">
        <v>301</v>
      </c>
      <c r="B275" s="16"/>
      <c r="D275" s="1" t="s">
        <v>301</v>
      </c>
      <c r="E275" s="22"/>
      <c r="F275" s="12" t="e">
        <f t="shared" si="13"/>
        <v>#VALUE!</v>
      </c>
      <c r="G275" s="6" t="e">
        <f t="shared" si="14"/>
        <v>#VALUE!</v>
      </c>
      <c r="H275" s="19">
        <f t="shared" si="15"/>
        <v>-88</v>
      </c>
      <c r="I275" s="25"/>
      <c r="J275" s="2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</row>
    <row r="276" spans="1:44">
      <c r="A276" s="43" t="s">
        <v>302</v>
      </c>
      <c r="B276" s="16"/>
      <c r="D276" s="1" t="s">
        <v>302</v>
      </c>
      <c r="E276" s="22"/>
      <c r="F276" s="12" t="e">
        <f t="shared" si="13"/>
        <v>#VALUE!</v>
      </c>
      <c r="G276" s="6" t="e">
        <f t="shared" si="14"/>
        <v>#VALUE!</v>
      </c>
      <c r="H276" s="19">
        <f t="shared" si="15"/>
        <v>-87</v>
      </c>
      <c r="I276" s="25"/>
      <c r="J276" s="2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</row>
    <row r="277" spans="1:44">
      <c r="A277" s="43" t="s">
        <v>303</v>
      </c>
      <c r="B277" s="16"/>
      <c r="D277" s="1" t="s">
        <v>303</v>
      </c>
      <c r="E277" s="22"/>
      <c r="F277" s="12" t="e">
        <f t="shared" si="13"/>
        <v>#VALUE!</v>
      </c>
      <c r="G277" s="6" t="e">
        <f t="shared" si="14"/>
        <v>#VALUE!</v>
      </c>
      <c r="H277" s="19">
        <f t="shared" si="15"/>
        <v>-86</v>
      </c>
      <c r="I277" s="25"/>
      <c r="J277" s="2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</row>
    <row r="278" spans="1:44">
      <c r="A278" s="43" t="s">
        <v>304</v>
      </c>
      <c r="B278" s="16"/>
      <c r="D278" s="1" t="s">
        <v>304</v>
      </c>
      <c r="E278" s="22"/>
      <c r="F278" s="12" t="e">
        <f t="shared" si="13"/>
        <v>#VALUE!</v>
      </c>
      <c r="G278" s="6" t="e">
        <f t="shared" si="14"/>
        <v>#VALUE!</v>
      </c>
      <c r="H278" s="19">
        <f t="shared" si="15"/>
        <v>-85</v>
      </c>
      <c r="I278" s="25"/>
      <c r="J278" s="2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</row>
    <row r="279" spans="1:44">
      <c r="A279" s="43" t="s">
        <v>305</v>
      </c>
      <c r="B279" s="16"/>
      <c r="D279" s="1" t="s">
        <v>305</v>
      </c>
      <c r="E279" s="22"/>
      <c r="F279" s="12" t="e">
        <f t="shared" si="13"/>
        <v>#VALUE!</v>
      </c>
      <c r="G279" s="6" t="e">
        <f t="shared" si="14"/>
        <v>#VALUE!</v>
      </c>
      <c r="H279" s="19">
        <f t="shared" si="15"/>
        <v>-84</v>
      </c>
      <c r="I279" s="25"/>
      <c r="J279" s="2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</row>
    <row r="280" spans="1:44">
      <c r="A280" s="43" t="s">
        <v>306</v>
      </c>
      <c r="B280" s="16"/>
      <c r="D280" s="1" t="s">
        <v>306</v>
      </c>
      <c r="E280" s="22"/>
      <c r="F280" s="12" t="e">
        <f t="shared" si="13"/>
        <v>#VALUE!</v>
      </c>
      <c r="G280" s="6" t="e">
        <f t="shared" si="14"/>
        <v>#VALUE!</v>
      </c>
      <c r="H280" s="19">
        <f t="shared" si="15"/>
        <v>-83</v>
      </c>
      <c r="I280" s="25"/>
      <c r="J280" s="2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</row>
    <row r="281" spans="1:44">
      <c r="A281" s="43" t="s">
        <v>307</v>
      </c>
      <c r="B281" s="16"/>
      <c r="D281" s="1" t="s">
        <v>307</v>
      </c>
      <c r="E281" s="22"/>
      <c r="F281" s="12" t="e">
        <f t="shared" si="13"/>
        <v>#VALUE!</v>
      </c>
      <c r="G281" s="6" t="e">
        <f t="shared" si="14"/>
        <v>#VALUE!</v>
      </c>
      <c r="H281" s="19">
        <f t="shared" si="15"/>
        <v>-82</v>
      </c>
      <c r="I281" s="25"/>
      <c r="J281" s="2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</row>
    <row r="282" spans="1:44">
      <c r="A282" s="43" t="s">
        <v>308</v>
      </c>
      <c r="B282" s="16"/>
      <c r="D282" s="1" t="s">
        <v>308</v>
      </c>
      <c r="E282" s="22"/>
      <c r="F282" s="12" t="e">
        <f t="shared" si="13"/>
        <v>#VALUE!</v>
      </c>
      <c r="G282" s="6" t="e">
        <f t="shared" si="14"/>
        <v>#VALUE!</v>
      </c>
      <c r="H282" s="19">
        <f t="shared" si="15"/>
        <v>-81</v>
      </c>
      <c r="I282" s="25"/>
      <c r="J282" s="2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</row>
    <row r="283" spans="1:44">
      <c r="A283" s="43" t="s">
        <v>309</v>
      </c>
      <c r="B283" s="16"/>
      <c r="D283" s="1" t="s">
        <v>309</v>
      </c>
      <c r="E283" s="22"/>
      <c r="F283" s="12" t="e">
        <f t="shared" si="13"/>
        <v>#VALUE!</v>
      </c>
      <c r="G283" s="6" t="e">
        <f t="shared" si="14"/>
        <v>#VALUE!</v>
      </c>
      <c r="H283" s="19">
        <f t="shared" si="15"/>
        <v>-80</v>
      </c>
      <c r="I283" s="25"/>
      <c r="J283" s="2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</row>
    <row r="284" spans="1:44">
      <c r="A284" s="43" t="s">
        <v>310</v>
      </c>
      <c r="B284" s="16"/>
      <c r="D284" s="1" t="s">
        <v>310</v>
      </c>
      <c r="E284" s="22"/>
      <c r="F284" s="12" t="e">
        <f t="shared" si="13"/>
        <v>#VALUE!</v>
      </c>
      <c r="G284" s="6" t="e">
        <f t="shared" si="14"/>
        <v>#VALUE!</v>
      </c>
      <c r="H284" s="19">
        <f t="shared" si="15"/>
        <v>-79</v>
      </c>
      <c r="I284" s="25"/>
      <c r="J284" s="2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</row>
    <row r="285" spans="1:44">
      <c r="A285" s="43" t="s">
        <v>311</v>
      </c>
      <c r="B285" s="16"/>
      <c r="D285" s="1" t="s">
        <v>311</v>
      </c>
      <c r="E285" s="22"/>
      <c r="F285" s="12" t="e">
        <f t="shared" si="13"/>
        <v>#VALUE!</v>
      </c>
      <c r="G285" s="6" t="e">
        <f t="shared" si="14"/>
        <v>#VALUE!</v>
      </c>
      <c r="H285" s="19">
        <f t="shared" si="15"/>
        <v>-78</v>
      </c>
      <c r="I285" s="25"/>
      <c r="J285" s="2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</row>
    <row r="286" spans="1:44">
      <c r="A286" s="43" t="s">
        <v>312</v>
      </c>
      <c r="B286" s="16"/>
      <c r="D286" s="1" t="s">
        <v>312</v>
      </c>
      <c r="E286" s="22"/>
      <c r="F286" s="12" t="e">
        <f t="shared" si="13"/>
        <v>#VALUE!</v>
      </c>
      <c r="G286" s="6" t="e">
        <f t="shared" si="14"/>
        <v>#VALUE!</v>
      </c>
      <c r="H286" s="19">
        <f t="shared" si="15"/>
        <v>-77</v>
      </c>
      <c r="I286" s="25"/>
      <c r="J286" s="2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</row>
    <row r="287" spans="1:44">
      <c r="A287" s="43" t="s">
        <v>313</v>
      </c>
      <c r="B287" s="16"/>
      <c r="D287" s="1" t="s">
        <v>313</v>
      </c>
      <c r="E287" s="22"/>
      <c r="F287" s="12" t="e">
        <f t="shared" si="13"/>
        <v>#VALUE!</v>
      </c>
      <c r="G287" s="6" t="e">
        <f t="shared" si="14"/>
        <v>#VALUE!</v>
      </c>
      <c r="H287" s="19">
        <f t="shared" si="15"/>
        <v>-76</v>
      </c>
      <c r="I287" s="25"/>
      <c r="J287" s="2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</row>
    <row r="288" spans="1:44">
      <c r="A288" s="43" t="s">
        <v>314</v>
      </c>
      <c r="B288" s="16"/>
      <c r="D288" s="1" t="s">
        <v>314</v>
      </c>
      <c r="E288" s="22"/>
      <c r="F288" s="12" t="e">
        <f t="shared" si="13"/>
        <v>#VALUE!</v>
      </c>
      <c r="G288" s="6" t="e">
        <f t="shared" si="14"/>
        <v>#VALUE!</v>
      </c>
      <c r="H288" s="19">
        <f t="shared" si="15"/>
        <v>-75</v>
      </c>
      <c r="I288" s="25"/>
      <c r="J288" s="2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</row>
    <row r="289" spans="1:44">
      <c r="A289" s="43" t="s">
        <v>315</v>
      </c>
      <c r="B289" s="16"/>
      <c r="D289" s="1" t="s">
        <v>315</v>
      </c>
      <c r="E289" s="22"/>
      <c r="F289" s="12" t="e">
        <f t="shared" si="13"/>
        <v>#VALUE!</v>
      </c>
      <c r="G289" s="6" t="e">
        <f t="shared" si="14"/>
        <v>#VALUE!</v>
      </c>
      <c r="H289" s="19">
        <f t="shared" si="15"/>
        <v>-74</v>
      </c>
      <c r="I289" s="25"/>
      <c r="J289" s="2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</row>
    <row r="290" spans="1:44">
      <c r="A290" s="43" t="s">
        <v>316</v>
      </c>
      <c r="B290" s="16"/>
      <c r="D290" s="1" t="s">
        <v>316</v>
      </c>
      <c r="E290" s="22"/>
      <c r="F290" s="12" t="e">
        <f t="shared" si="13"/>
        <v>#VALUE!</v>
      </c>
      <c r="G290" s="6" t="e">
        <f t="shared" si="14"/>
        <v>#VALUE!</v>
      </c>
      <c r="H290" s="19">
        <f t="shared" si="15"/>
        <v>-73</v>
      </c>
      <c r="I290" s="25"/>
      <c r="J290" s="2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</row>
    <row r="291" spans="1:44">
      <c r="A291" s="43" t="s">
        <v>317</v>
      </c>
      <c r="B291" s="16"/>
      <c r="D291" s="1" t="s">
        <v>317</v>
      </c>
      <c r="E291" s="22"/>
      <c r="F291" s="12" t="e">
        <f t="shared" si="13"/>
        <v>#VALUE!</v>
      </c>
      <c r="G291" s="6" t="e">
        <f t="shared" si="14"/>
        <v>#VALUE!</v>
      </c>
      <c r="H291" s="19">
        <f t="shared" si="15"/>
        <v>-72</v>
      </c>
      <c r="I291" s="25"/>
      <c r="J291" s="2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</row>
    <row r="292" spans="1:44">
      <c r="A292" s="43" t="s">
        <v>318</v>
      </c>
      <c r="B292" s="16"/>
      <c r="D292" s="1" t="s">
        <v>318</v>
      </c>
      <c r="E292" s="22"/>
      <c r="F292" s="12" t="e">
        <f t="shared" si="13"/>
        <v>#VALUE!</v>
      </c>
      <c r="G292" s="6" t="e">
        <f t="shared" si="14"/>
        <v>#VALUE!</v>
      </c>
      <c r="H292" s="19">
        <f t="shared" si="15"/>
        <v>-71</v>
      </c>
      <c r="I292" s="25"/>
      <c r="J292" s="2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</row>
    <row r="293" spans="1:44">
      <c r="A293" s="43" t="s">
        <v>319</v>
      </c>
      <c r="B293" s="16"/>
      <c r="D293" s="1" t="s">
        <v>319</v>
      </c>
      <c r="E293" s="22"/>
      <c r="F293" s="12" t="e">
        <f t="shared" si="13"/>
        <v>#VALUE!</v>
      </c>
      <c r="G293" s="6" t="e">
        <f t="shared" si="14"/>
        <v>#VALUE!</v>
      </c>
      <c r="H293" s="19">
        <f t="shared" si="15"/>
        <v>-70</v>
      </c>
      <c r="I293" s="25"/>
      <c r="J293" s="2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</row>
    <row r="294" spans="1:44">
      <c r="A294" s="43" t="s">
        <v>320</v>
      </c>
      <c r="B294" s="16"/>
      <c r="D294" s="1" t="s">
        <v>320</v>
      </c>
      <c r="E294" s="22"/>
      <c r="F294" s="12" t="e">
        <f t="shared" si="13"/>
        <v>#VALUE!</v>
      </c>
      <c r="G294" s="6" t="e">
        <f t="shared" si="14"/>
        <v>#VALUE!</v>
      </c>
      <c r="H294" s="19">
        <f t="shared" si="15"/>
        <v>-69</v>
      </c>
      <c r="I294" s="25"/>
      <c r="J294" s="2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</row>
    <row r="295" spans="1:44">
      <c r="A295" s="43" t="s">
        <v>321</v>
      </c>
      <c r="B295" s="16"/>
      <c r="D295" s="1" t="s">
        <v>321</v>
      </c>
      <c r="E295" s="22"/>
      <c r="F295" s="12" t="e">
        <f t="shared" si="13"/>
        <v>#VALUE!</v>
      </c>
      <c r="G295" s="6" t="e">
        <f t="shared" si="14"/>
        <v>#VALUE!</v>
      </c>
      <c r="H295" s="19">
        <f t="shared" si="15"/>
        <v>-68</v>
      </c>
      <c r="I295" s="25"/>
      <c r="J295" s="2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</row>
    <row r="296" spans="1:44">
      <c r="A296" s="43" t="s">
        <v>322</v>
      </c>
      <c r="B296" s="16"/>
      <c r="D296" s="1" t="s">
        <v>322</v>
      </c>
      <c r="E296" s="22"/>
      <c r="F296" s="12" t="e">
        <f t="shared" si="13"/>
        <v>#VALUE!</v>
      </c>
      <c r="G296" s="6" t="e">
        <f t="shared" si="14"/>
        <v>#VALUE!</v>
      </c>
      <c r="H296" s="19">
        <f t="shared" si="15"/>
        <v>-67</v>
      </c>
      <c r="I296" s="25"/>
      <c r="J296" s="2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</row>
    <row r="297" spans="1:44">
      <c r="A297" s="43" t="s">
        <v>323</v>
      </c>
      <c r="B297" s="16"/>
      <c r="D297" s="1" t="s">
        <v>323</v>
      </c>
      <c r="E297" s="22"/>
      <c r="F297" s="12" t="e">
        <f t="shared" si="13"/>
        <v>#VALUE!</v>
      </c>
      <c r="G297" s="6" t="e">
        <f t="shared" si="14"/>
        <v>#VALUE!</v>
      </c>
      <c r="H297" s="19">
        <f t="shared" si="15"/>
        <v>-66</v>
      </c>
      <c r="I297" s="25"/>
      <c r="J297" s="2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</row>
    <row r="298" spans="1:44">
      <c r="A298" s="43" t="s">
        <v>324</v>
      </c>
      <c r="B298" s="16"/>
      <c r="D298" s="1" t="s">
        <v>324</v>
      </c>
      <c r="E298" s="22"/>
      <c r="F298" s="12" t="e">
        <f t="shared" si="13"/>
        <v>#VALUE!</v>
      </c>
      <c r="G298" s="6" t="e">
        <f t="shared" si="14"/>
        <v>#VALUE!</v>
      </c>
      <c r="H298" s="19">
        <f t="shared" si="15"/>
        <v>-65</v>
      </c>
      <c r="I298" s="25"/>
      <c r="J298" s="2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</row>
    <row r="299" spans="1:44">
      <c r="A299" s="43" t="s">
        <v>325</v>
      </c>
      <c r="B299" s="16"/>
      <c r="D299" s="1" t="s">
        <v>325</v>
      </c>
      <c r="E299" s="22"/>
      <c r="F299" s="12" t="e">
        <f t="shared" si="13"/>
        <v>#VALUE!</v>
      </c>
      <c r="G299" s="6" t="e">
        <f t="shared" si="14"/>
        <v>#VALUE!</v>
      </c>
      <c r="H299" s="19">
        <f t="shared" si="15"/>
        <v>-64</v>
      </c>
      <c r="I299" s="25"/>
      <c r="J299" s="2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</row>
    <row r="300" spans="1:44">
      <c r="A300" s="43" t="s">
        <v>326</v>
      </c>
      <c r="B300" s="16"/>
      <c r="D300" s="1" t="s">
        <v>326</v>
      </c>
      <c r="E300" s="22"/>
      <c r="F300" s="12" t="e">
        <f t="shared" si="13"/>
        <v>#VALUE!</v>
      </c>
      <c r="G300" s="6" t="e">
        <f t="shared" si="14"/>
        <v>#VALUE!</v>
      </c>
      <c r="H300" s="19">
        <f t="shared" si="15"/>
        <v>-63</v>
      </c>
      <c r="I300" s="25"/>
      <c r="J300" s="2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</row>
    <row r="301" spans="1:44">
      <c r="A301" s="43" t="s">
        <v>327</v>
      </c>
      <c r="B301" s="16"/>
      <c r="D301" s="1" t="s">
        <v>327</v>
      </c>
      <c r="E301" s="22"/>
      <c r="F301" s="12" t="e">
        <f t="shared" si="13"/>
        <v>#VALUE!</v>
      </c>
      <c r="G301" s="6" t="e">
        <f t="shared" si="14"/>
        <v>#VALUE!</v>
      </c>
      <c r="H301" s="19">
        <f t="shared" si="15"/>
        <v>-62</v>
      </c>
      <c r="I301" s="25"/>
      <c r="J301" s="2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</row>
    <row r="302" spans="1:44">
      <c r="A302" s="43" t="s">
        <v>328</v>
      </c>
      <c r="B302" s="16"/>
      <c r="D302" s="1" t="s">
        <v>328</v>
      </c>
      <c r="E302" s="22"/>
      <c r="F302" s="12" t="e">
        <f t="shared" si="13"/>
        <v>#VALUE!</v>
      </c>
      <c r="G302" s="6" t="e">
        <f t="shared" si="14"/>
        <v>#VALUE!</v>
      </c>
      <c r="H302" s="19">
        <f t="shared" si="15"/>
        <v>-61</v>
      </c>
      <c r="I302" s="25"/>
      <c r="J302" s="2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</row>
    <row r="303" spans="1:44">
      <c r="A303" s="43" t="s">
        <v>329</v>
      </c>
      <c r="B303" s="16"/>
      <c r="D303" s="1" t="s">
        <v>329</v>
      </c>
      <c r="E303" s="22"/>
      <c r="F303" s="12" t="e">
        <f t="shared" si="13"/>
        <v>#VALUE!</v>
      </c>
      <c r="G303" s="6" t="e">
        <f t="shared" si="14"/>
        <v>#VALUE!</v>
      </c>
      <c r="H303" s="19">
        <f t="shared" si="15"/>
        <v>-60</v>
      </c>
      <c r="I303" s="25"/>
      <c r="J303" s="2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</row>
    <row r="304" spans="1:44">
      <c r="A304" s="43" t="s">
        <v>330</v>
      </c>
      <c r="B304" s="16"/>
      <c r="D304" s="1" t="s">
        <v>330</v>
      </c>
      <c r="E304" s="22"/>
      <c r="F304" s="12" t="e">
        <f t="shared" si="13"/>
        <v>#VALUE!</v>
      </c>
      <c r="G304" s="6" t="e">
        <f t="shared" si="14"/>
        <v>#VALUE!</v>
      </c>
      <c r="H304" s="19">
        <f t="shared" si="15"/>
        <v>-59</v>
      </c>
      <c r="I304" s="25"/>
      <c r="J304" s="2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</row>
    <row r="305" spans="1:25">
      <c r="A305" s="43" t="s">
        <v>331</v>
      </c>
      <c r="B305" s="16"/>
      <c r="D305" s="1" t="s">
        <v>331</v>
      </c>
      <c r="E305" s="22"/>
      <c r="F305" s="12" t="e">
        <f t="shared" si="13"/>
        <v>#VALUE!</v>
      </c>
      <c r="G305" s="6" t="e">
        <f t="shared" si="14"/>
        <v>#VALUE!</v>
      </c>
      <c r="H305" s="19">
        <f t="shared" si="15"/>
        <v>-58</v>
      </c>
      <c r="I305" s="25"/>
      <c r="J305" s="2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</row>
    <row r="306" spans="1:25">
      <c r="A306" s="43" t="s">
        <v>332</v>
      </c>
      <c r="B306" s="16"/>
      <c r="D306" s="1" t="s">
        <v>332</v>
      </c>
      <c r="E306" s="22"/>
      <c r="F306" s="12" t="e">
        <f t="shared" si="13"/>
        <v>#VALUE!</v>
      </c>
      <c r="G306" s="6" t="e">
        <f t="shared" si="14"/>
        <v>#VALUE!</v>
      </c>
      <c r="H306" s="19">
        <f t="shared" si="15"/>
        <v>-57</v>
      </c>
      <c r="I306" s="25"/>
      <c r="J306" s="2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</row>
    <row r="307" spans="1:25">
      <c r="A307" s="43" t="s">
        <v>333</v>
      </c>
      <c r="B307" s="16"/>
      <c r="D307" s="1" t="s">
        <v>333</v>
      </c>
      <c r="E307" s="22"/>
      <c r="F307" s="12" t="e">
        <f t="shared" si="13"/>
        <v>#VALUE!</v>
      </c>
      <c r="G307" s="6" t="e">
        <f t="shared" si="14"/>
        <v>#VALUE!</v>
      </c>
      <c r="H307" s="19">
        <f t="shared" si="15"/>
        <v>-56</v>
      </c>
      <c r="I307" s="25"/>
      <c r="J307" s="2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</row>
    <row r="308" spans="1:25">
      <c r="A308" s="43" t="s">
        <v>334</v>
      </c>
      <c r="B308" s="16"/>
      <c r="D308" s="1" t="s">
        <v>334</v>
      </c>
      <c r="E308" s="22"/>
      <c r="F308" s="12" t="e">
        <f t="shared" si="13"/>
        <v>#VALUE!</v>
      </c>
      <c r="G308" s="6" t="e">
        <f t="shared" si="14"/>
        <v>#VALUE!</v>
      </c>
      <c r="H308" s="19">
        <f t="shared" si="15"/>
        <v>-55</v>
      </c>
      <c r="I308" s="25"/>
      <c r="J308" s="2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</row>
    <row r="309" spans="1:25">
      <c r="A309" s="43" t="s">
        <v>335</v>
      </c>
      <c r="B309" s="16"/>
      <c r="D309" s="1" t="s">
        <v>335</v>
      </c>
      <c r="E309" s="22"/>
      <c r="F309" s="12" t="e">
        <f t="shared" si="13"/>
        <v>#VALUE!</v>
      </c>
      <c r="G309" s="6" t="e">
        <f t="shared" si="14"/>
        <v>#VALUE!</v>
      </c>
      <c r="H309" s="19">
        <f t="shared" si="15"/>
        <v>-54</v>
      </c>
      <c r="I309" s="25"/>
      <c r="J309" s="2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</row>
    <row r="310" spans="1:25">
      <c r="A310" s="43" t="s">
        <v>336</v>
      </c>
      <c r="B310" s="16"/>
      <c r="D310" s="1" t="s">
        <v>336</v>
      </c>
      <c r="E310" s="22"/>
      <c r="F310" s="12" t="e">
        <f t="shared" si="13"/>
        <v>#VALUE!</v>
      </c>
      <c r="G310" s="6" t="e">
        <f t="shared" si="14"/>
        <v>#VALUE!</v>
      </c>
      <c r="H310" s="19">
        <f t="shared" si="15"/>
        <v>-53</v>
      </c>
      <c r="I310" s="25"/>
      <c r="J310" s="2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</row>
    <row r="311" spans="1:25">
      <c r="A311" s="43" t="s">
        <v>337</v>
      </c>
      <c r="B311" s="16"/>
      <c r="D311" s="1" t="s">
        <v>337</v>
      </c>
      <c r="E311" s="22"/>
      <c r="F311" s="12" t="e">
        <f t="shared" si="13"/>
        <v>#VALUE!</v>
      </c>
      <c r="G311" s="6" t="e">
        <f t="shared" si="14"/>
        <v>#VALUE!</v>
      </c>
      <c r="H311" s="19">
        <f t="shared" si="15"/>
        <v>-52</v>
      </c>
      <c r="I311" s="25"/>
      <c r="J311" s="2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</row>
    <row r="312" spans="1:25">
      <c r="A312" s="43" t="s">
        <v>338</v>
      </c>
      <c r="B312" s="16"/>
      <c r="D312" s="1" t="s">
        <v>338</v>
      </c>
      <c r="E312" s="22"/>
      <c r="F312" s="12" t="e">
        <f t="shared" si="13"/>
        <v>#VALUE!</v>
      </c>
      <c r="G312" s="6" t="e">
        <f t="shared" si="14"/>
        <v>#VALUE!</v>
      </c>
      <c r="H312" s="19">
        <f t="shared" si="15"/>
        <v>-51</v>
      </c>
      <c r="I312" s="25"/>
      <c r="J312" s="2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</row>
    <row r="313" spans="1:25">
      <c r="A313" s="43" t="s">
        <v>339</v>
      </c>
      <c r="B313" s="16"/>
      <c r="D313" s="1" t="s">
        <v>339</v>
      </c>
      <c r="E313" s="22"/>
      <c r="F313" s="12" t="e">
        <f t="shared" si="13"/>
        <v>#VALUE!</v>
      </c>
      <c r="G313" s="6" t="e">
        <f t="shared" si="14"/>
        <v>#VALUE!</v>
      </c>
      <c r="H313" s="19">
        <f t="shared" si="15"/>
        <v>-50</v>
      </c>
      <c r="I313" s="25"/>
      <c r="J313" s="2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</row>
    <row r="314" spans="1:25">
      <c r="A314" s="43" t="s">
        <v>340</v>
      </c>
      <c r="B314" s="16"/>
      <c r="D314" s="1" t="s">
        <v>340</v>
      </c>
      <c r="E314" s="22"/>
      <c r="F314" s="12" t="e">
        <f t="shared" si="13"/>
        <v>#VALUE!</v>
      </c>
      <c r="G314" s="6" t="e">
        <f t="shared" si="14"/>
        <v>#VALUE!</v>
      </c>
      <c r="H314" s="19">
        <f t="shared" si="15"/>
        <v>-49</v>
      </c>
      <c r="I314" s="25"/>
      <c r="J314" s="2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</row>
    <row r="315" spans="1:25">
      <c r="A315" s="43" t="s">
        <v>341</v>
      </c>
      <c r="B315" s="16"/>
      <c r="D315" s="1" t="s">
        <v>341</v>
      </c>
      <c r="E315" s="22"/>
      <c r="F315" s="12" t="e">
        <f t="shared" si="13"/>
        <v>#VALUE!</v>
      </c>
      <c r="G315" s="6" t="e">
        <f t="shared" si="14"/>
        <v>#VALUE!</v>
      </c>
      <c r="H315" s="19">
        <f t="shared" si="15"/>
        <v>-48</v>
      </c>
      <c r="I315" s="25"/>
      <c r="J315" s="2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</row>
    <row r="316" spans="1:25">
      <c r="A316" s="43" t="s">
        <v>342</v>
      </c>
      <c r="B316" s="16"/>
      <c r="D316" s="1" t="s">
        <v>342</v>
      </c>
      <c r="E316" s="22"/>
      <c r="F316" s="12" t="e">
        <f t="shared" si="13"/>
        <v>#VALUE!</v>
      </c>
      <c r="G316" s="6" t="e">
        <f t="shared" si="14"/>
        <v>#VALUE!</v>
      </c>
      <c r="H316" s="19">
        <f t="shared" si="15"/>
        <v>-47</v>
      </c>
      <c r="I316" s="25"/>
      <c r="J316" s="2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</row>
    <row r="317" spans="1:25">
      <c r="A317" s="43" t="s">
        <v>343</v>
      </c>
      <c r="B317" s="16"/>
      <c r="D317" s="1" t="s">
        <v>343</v>
      </c>
      <c r="E317" s="22"/>
      <c r="F317" s="12" t="e">
        <f t="shared" si="13"/>
        <v>#VALUE!</v>
      </c>
      <c r="G317" s="6" t="e">
        <f t="shared" si="14"/>
        <v>#VALUE!</v>
      </c>
      <c r="H317" s="19">
        <f t="shared" si="15"/>
        <v>-46</v>
      </c>
      <c r="I317" s="25"/>
      <c r="J317" s="2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</row>
    <row r="318" spans="1:25">
      <c r="A318" s="43" t="s">
        <v>344</v>
      </c>
      <c r="B318" s="16"/>
      <c r="D318" s="1" t="s">
        <v>344</v>
      </c>
      <c r="E318" s="22"/>
      <c r="F318" s="12" t="e">
        <f>SUBSTITUTE(B318,".",",")*100/100</f>
        <v>#VALUE!</v>
      </c>
      <c r="G318" s="6" t="e">
        <f t="shared" si="14"/>
        <v>#VALUE!</v>
      </c>
      <c r="H318" s="19">
        <f t="shared" si="15"/>
        <v>-45</v>
      </c>
      <c r="I318" s="25"/>
      <c r="J318" s="2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</row>
    <row r="319" spans="1:25">
      <c r="A319" s="43" t="s">
        <v>345</v>
      </c>
      <c r="B319" s="16"/>
      <c r="D319" s="1" t="s">
        <v>345</v>
      </c>
      <c r="E319" s="22"/>
      <c r="F319" s="12" t="e">
        <f t="shared" ref="F319:F362" si="16">SUBSTITUTE(B319,".",",")*100/100</f>
        <v>#VALUE!</v>
      </c>
      <c r="G319" s="6" t="e">
        <f t="shared" si="14"/>
        <v>#VALUE!</v>
      </c>
      <c r="H319" s="19">
        <f t="shared" si="15"/>
        <v>-44</v>
      </c>
      <c r="I319" s="25"/>
      <c r="J319" s="2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</row>
    <row r="320" spans="1:25">
      <c r="A320" s="43" t="s">
        <v>346</v>
      </c>
      <c r="B320" s="16"/>
      <c r="D320" s="1" t="s">
        <v>346</v>
      </c>
      <c r="E320" s="22"/>
      <c r="F320" s="12" t="e">
        <f t="shared" si="16"/>
        <v>#VALUE!</v>
      </c>
      <c r="G320" s="6" t="e">
        <f t="shared" si="14"/>
        <v>#VALUE!</v>
      </c>
      <c r="H320" s="19">
        <f t="shared" si="15"/>
        <v>-43</v>
      </c>
      <c r="I320" s="25"/>
      <c r="J320" s="2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</row>
    <row r="321" spans="1:25">
      <c r="A321" s="43" t="s">
        <v>347</v>
      </c>
      <c r="B321" s="16"/>
      <c r="D321" s="1" t="s">
        <v>347</v>
      </c>
      <c r="E321" s="22"/>
      <c r="F321" s="12" t="e">
        <f t="shared" si="16"/>
        <v>#VALUE!</v>
      </c>
      <c r="G321" s="6" t="e">
        <f t="shared" si="14"/>
        <v>#VALUE!</v>
      </c>
      <c r="H321" s="19">
        <f t="shared" si="15"/>
        <v>-42</v>
      </c>
      <c r="I321" s="25"/>
      <c r="J321" s="2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</row>
    <row r="322" spans="1:25">
      <c r="A322" s="43" t="s">
        <v>348</v>
      </c>
      <c r="B322" s="16"/>
      <c r="D322" s="1" t="s">
        <v>348</v>
      </c>
      <c r="E322" s="22"/>
      <c r="F322" s="12" t="e">
        <f t="shared" si="16"/>
        <v>#VALUE!</v>
      </c>
      <c r="G322" s="6" t="e">
        <f t="shared" si="14"/>
        <v>#VALUE!</v>
      </c>
      <c r="H322" s="19">
        <f t="shared" si="15"/>
        <v>-41</v>
      </c>
      <c r="I322" s="25"/>
      <c r="J322" s="2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</row>
    <row r="323" spans="1:25">
      <c r="A323" s="43" t="s">
        <v>349</v>
      </c>
      <c r="B323" s="16"/>
      <c r="D323" s="1" t="s">
        <v>349</v>
      </c>
      <c r="E323" s="22"/>
      <c r="F323" s="12" t="e">
        <f t="shared" si="16"/>
        <v>#VALUE!</v>
      </c>
      <c r="G323" s="6" t="e">
        <f t="shared" si="14"/>
        <v>#VALUE!</v>
      </c>
      <c r="H323" s="19">
        <f t="shared" si="15"/>
        <v>-40</v>
      </c>
      <c r="I323" s="25"/>
      <c r="J323" s="2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</row>
    <row r="324" spans="1:25">
      <c r="A324" s="43" t="s">
        <v>350</v>
      </c>
      <c r="B324" s="16"/>
      <c r="D324" s="1" t="s">
        <v>350</v>
      </c>
      <c r="E324" s="22"/>
      <c r="F324" s="12" t="e">
        <f t="shared" si="16"/>
        <v>#VALUE!</v>
      </c>
      <c r="G324" s="6" t="e">
        <f t="shared" ref="G324:G362" si="17">SUBSTITUTE(E324,".",",")*100/100</f>
        <v>#VALUE!</v>
      </c>
      <c r="H324" s="19">
        <f t="shared" si="15"/>
        <v>-39</v>
      </c>
      <c r="I324" s="25"/>
      <c r="J324" s="2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</row>
    <row r="325" spans="1:25">
      <c r="A325" s="43" t="s">
        <v>351</v>
      </c>
      <c r="B325" s="16"/>
      <c r="D325" s="1" t="s">
        <v>351</v>
      </c>
      <c r="E325" s="22"/>
      <c r="F325" s="12" t="e">
        <f t="shared" si="16"/>
        <v>#VALUE!</v>
      </c>
      <c r="G325" s="6" t="e">
        <f t="shared" si="17"/>
        <v>#VALUE!</v>
      </c>
      <c r="H325" s="19">
        <f t="shared" ref="H325:H388" si="18">H324+1</f>
        <v>-38</v>
      </c>
      <c r="I325" s="25"/>
      <c r="J325" s="2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</row>
    <row r="326" spans="1:25">
      <c r="A326" s="43" t="s">
        <v>352</v>
      </c>
      <c r="B326" s="16"/>
      <c r="D326" s="1" t="s">
        <v>352</v>
      </c>
      <c r="E326" s="22"/>
      <c r="F326" s="12" t="e">
        <f t="shared" si="16"/>
        <v>#VALUE!</v>
      </c>
      <c r="G326" s="6" t="e">
        <f t="shared" si="17"/>
        <v>#VALUE!</v>
      </c>
      <c r="H326" s="19">
        <f t="shared" si="18"/>
        <v>-37</v>
      </c>
      <c r="I326" s="25"/>
      <c r="J326" s="2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</row>
    <row r="327" spans="1:25">
      <c r="A327" s="43" t="s">
        <v>353</v>
      </c>
      <c r="B327" s="16"/>
      <c r="D327" s="1" t="s">
        <v>353</v>
      </c>
      <c r="E327" s="22"/>
      <c r="F327" s="12" t="e">
        <f t="shared" si="16"/>
        <v>#VALUE!</v>
      </c>
      <c r="G327" s="6" t="e">
        <f t="shared" si="17"/>
        <v>#VALUE!</v>
      </c>
      <c r="H327" s="19">
        <f t="shared" si="18"/>
        <v>-36</v>
      </c>
      <c r="I327" s="25"/>
      <c r="J327" s="2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</row>
    <row r="328" spans="1:25">
      <c r="A328" s="43" t="s">
        <v>354</v>
      </c>
      <c r="B328" s="16"/>
      <c r="D328" s="1" t="s">
        <v>354</v>
      </c>
      <c r="E328" s="22"/>
      <c r="F328" s="12" t="e">
        <f t="shared" si="16"/>
        <v>#VALUE!</v>
      </c>
      <c r="G328" s="6" t="e">
        <f t="shared" si="17"/>
        <v>#VALUE!</v>
      </c>
      <c r="H328" s="19">
        <f t="shared" si="18"/>
        <v>-35</v>
      </c>
      <c r="I328" s="25"/>
      <c r="J328" s="2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</row>
    <row r="329" spans="1:25">
      <c r="A329" s="43" t="s">
        <v>355</v>
      </c>
      <c r="B329" s="16"/>
      <c r="D329" s="1" t="s">
        <v>355</v>
      </c>
      <c r="E329" s="22"/>
      <c r="F329" s="12" t="e">
        <f t="shared" si="16"/>
        <v>#VALUE!</v>
      </c>
      <c r="G329" s="6" t="e">
        <f t="shared" si="17"/>
        <v>#VALUE!</v>
      </c>
      <c r="H329" s="19">
        <f t="shared" si="18"/>
        <v>-34</v>
      </c>
      <c r="I329" s="25"/>
      <c r="J329" s="2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</row>
    <row r="330" spans="1:25">
      <c r="A330" s="43" t="s">
        <v>356</v>
      </c>
      <c r="B330" s="16"/>
      <c r="D330" s="1" t="s">
        <v>356</v>
      </c>
      <c r="E330" s="22"/>
      <c r="F330" s="12" t="e">
        <f t="shared" si="16"/>
        <v>#VALUE!</v>
      </c>
      <c r="G330" s="6" t="e">
        <f t="shared" si="17"/>
        <v>#VALUE!</v>
      </c>
      <c r="H330" s="19">
        <f t="shared" si="18"/>
        <v>-33</v>
      </c>
      <c r="I330" s="25"/>
      <c r="J330" s="2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</row>
    <row r="331" spans="1:25">
      <c r="A331" s="43" t="s">
        <v>357</v>
      </c>
      <c r="B331" s="16"/>
      <c r="D331" s="1" t="s">
        <v>357</v>
      </c>
      <c r="E331" s="22"/>
      <c r="F331" s="12" t="e">
        <f t="shared" si="16"/>
        <v>#VALUE!</v>
      </c>
      <c r="G331" s="6" t="e">
        <f t="shared" si="17"/>
        <v>#VALUE!</v>
      </c>
      <c r="H331" s="19">
        <f t="shared" si="18"/>
        <v>-32</v>
      </c>
      <c r="I331" s="25"/>
      <c r="J331" s="2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</row>
    <row r="332" spans="1:25">
      <c r="A332" s="43" t="s">
        <v>358</v>
      </c>
      <c r="B332" s="16"/>
      <c r="D332" s="1" t="s">
        <v>358</v>
      </c>
      <c r="E332" s="22"/>
      <c r="F332" s="12" t="e">
        <f t="shared" si="16"/>
        <v>#VALUE!</v>
      </c>
      <c r="G332" s="6" t="e">
        <f t="shared" si="17"/>
        <v>#VALUE!</v>
      </c>
      <c r="H332" s="19">
        <f t="shared" si="18"/>
        <v>-31</v>
      </c>
      <c r="I332" s="25"/>
      <c r="J332" s="2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</row>
    <row r="333" spans="1:25">
      <c r="A333" s="43" t="s">
        <v>359</v>
      </c>
      <c r="B333" s="16"/>
      <c r="D333" s="1" t="s">
        <v>359</v>
      </c>
      <c r="E333" s="22"/>
      <c r="F333" s="12" t="e">
        <f t="shared" si="16"/>
        <v>#VALUE!</v>
      </c>
      <c r="G333" s="6" t="e">
        <f t="shared" si="17"/>
        <v>#VALUE!</v>
      </c>
      <c r="H333" s="19">
        <f t="shared" si="18"/>
        <v>-30</v>
      </c>
      <c r="I333" s="25"/>
      <c r="J333" s="2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</row>
    <row r="334" spans="1:25">
      <c r="A334" s="43" t="s">
        <v>360</v>
      </c>
      <c r="B334" s="16"/>
      <c r="D334" s="1" t="s">
        <v>360</v>
      </c>
      <c r="E334" s="22"/>
      <c r="F334" s="12" t="e">
        <f t="shared" si="16"/>
        <v>#VALUE!</v>
      </c>
      <c r="G334" s="6" t="e">
        <f t="shared" si="17"/>
        <v>#VALUE!</v>
      </c>
      <c r="H334" s="19">
        <f t="shared" si="18"/>
        <v>-29</v>
      </c>
      <c r="I334" s="25"/>
      <c r="J334" s="2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</row>
    <row r="335" spans="1:25">
      <c r="A335" s="43" t="s">
        <v>361</v>
      </c>
      <c r="B335" s="16"/>
      <c r="D335" s="1" t="s">
        <v>361</v>
      </c>
      <c r="E335" s="22"/>
      <c r="F335" s="12" t="e">
        <f t="shared" si="16"/>
        <v>#VALUE!</v>
      </c>
      <c r="G335" s="6" t="e">
        <f t="shared" si="17"/>
        <v>#VALUE!</v>
      </c>
      <c r="H335" s="19">
        <f t="shared" si="18"/>
        <v>-28</v>
      </c>
      <c r="I335" s="25"/>
      <c r="J335" s="2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</row>
    <row r="336" spans="1:25">
      <c r="A336" s="43" t="s">
        <v>362</v>
      </c>
      <c r="B336" s="16"/>
      <c r="D336" s="1" t="s">
        <v>362</v>
      </c>
      <c r="E336" s="22"/>
      <c r="F336" s="12" t="e">
        <f t="shared" si="16"/>
        <v>#VALUE!</v>
      </c>
      <c r="G336" s="6" t="e">
        <f t="shared" si="17"/>
        <v>#VALUE!</v>
      </c>
      <c r="H336" s="19">
        <f t="shared" si="18"/>
        <v>-27</v>
      </c>
      <c r="I336" s="25"/>
      <c r="J336" s="2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</row>
    <row r="337" spans="1:25">
      <c r="A337" s="43" t="s">
        <v>363</v>
      </c>
      <c r="B337" s="16"/>
      <c r="D337" s="1" t="s">
        <v>363</v>
      </c>
      <c r="E337" s="22"/>
      <c r="F337" s="12" t="e">
        <f t="shared" si="16"/>
        <v>#VALUE!</v>
      </c>
      <c r="G337" s="6" t="e">
        <f t="shared" si="17"/>
        <v>#VALUE!</v>
      </c>
      <c r="H337" s="19">
        <f t="shared" si="18"/>
        <v>-26</v>
      </c>
      <c r="I337" s="25"/>
      <c r="J337" s="2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</row>
    <row r="338" spans="1:25">
      <c r="A338" s="43" t="s">
        <v>364</v>
      </c>
      <c r="B338" s="16"/>
      <c r="D338" s="1" t="s">
        <v>364</v>
      </c>
      <c r="E338" s="22"/>
      <c r="F338" s="12" t="e">
        <f t="shared" si="16"/>
        <v>#VALUE!</v>
      </c>
      <c r="G338" s="6" t="e">
        <f t="shared" si="17"/>
        <v>#VALUE!</v>
      </c>
      <c r="H338" s="19">
        <f t="shared" si="18"/>
        <v>-25</v>
      </c>
      <c r="I338" s="25"/>
      <c r="J338" s="2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</row>
    <row r="339" spans="1:25">
      <c r="A339" s="43" t="s">
        <v>365</v>
      </c>
      <c r="B339" s="16"/>
      <c r="D339" s="1" t="s">
        <v>365</v>
      </c>
      <c r="E339" s="22"/>
      <c r="F339" s="12" t="e">
        <f t="shared" si="16"/>
        <v>#VALUE!</v>
      </c>
      <c r="G339" s="6" t="e">
        <f t="shared" si="17"/>
        <v>#VALUE!</v>
      </c>
      <c r="H339" s="19">
        <f t="shared" si="18"/>
        <v>-24</v>
      </c>
      <c r="I339" s="25"/>
      <c r="J339" s="2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</row>
    <row r="340" spans="1:25">
      <c r="A340" s="43" t="s">
        <v>366</v>
      </c>
      <c r="B340" s="16"/>
      <c r="D340" s="1" t="s">
        <v>366</v>
      </c>
      <c r="E340" s="22"/>
      <c r="F340" s="12" t="e">
        <f t="shared" si="16"/>
        <v>#VALUE!</v>
      </c>
      <c r="G340" s="6" t="e">
        <f t="shared" si="17"/>
        <v>#VALUE!</v>
      </c>
      <c r="H340" s="19">
        <f t="shared" si="18"/>
        <v>-23</v>
      </c>
      <c r="I340" s="25"/>
      <c r="J340" s="2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</row>
    <row r="341" spans="1:25">
      <c r="A341" s="43" t="s">
        <v>367</v>
      </c>
      <c r="B341" s="16"/>
      <c r="D341" s="1" t="s">
        <v>367</v>
      </c>
      <c r="E341" s="22"/>
      <c r="F341" s="12" t="e">
        <f t="shared" si="16"/>
        <v>#VALUE!</v>
      </c>
      <c r="G341" s="6" t="e">
        <f t="shared" si="17"/>
        <v>#VALUE!</v>
      </c>
      <c r="H341" s="19">
        <f t="shared" si="18"/>
        <v>-22</v>
      </c>
      <c r="I341" s="25"/>
      <c r="J341" s="2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</row>
    <row r="342" spans="1:25">
      <c r="A342" s="43" t="s">
        <v>368</v>
      </c>
      <c r="B342" s="16"/>
      <c r="D342" s="1" t="s">
        <v>368</v>
      </c>
      <c r="E342" s="22"/>
      <c r="F342" s="12" t="e">
        <f t="shared" si="16"/>
        <v>#VALUE!</v>
      </c>
      <c r="G342" s="6" t="e">
        <f t="shared" si="17"/>
        <v>#VALUE!</v>
      </c>
      <c r="H342" s="19">
        <f t="shared" si="18"/>
        <v>-21</v>
      </c>
      <c r="I342" s="25"/>
      <c r="J342" s="2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</row>
    <row r="343" spans="1:25">
      <c r="A343" s="43" t="s">
        <v>369</v>
      </c>
      <c r="B343" s="16"/>
      <c r="D343" s="1" t="s">
        <v>369</v>
      </c>
      <c r="E343" s="22"/>
      <c r="F343" s="12" t="e">
        <f t="shared" si="16"/>
        <v>#VALUE!</v>
      </c>
      <c r="G343" s="6" t="e">
        <f t="shared" si="17"/>
        <v>#VALUE!</v>
      </c>
      <c r="H343" s="19">
        <f t="shared" si="18"/>
        <v>-20</v>
      </c>
      <c r="I343" s="25"/>
      <c r="J343" s="2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</row>
    <row r="344" spans="1:25">
      <c r="A344" s="43" t="s">
        <v>370</v>
      </c>
      <c r="B344" s="16"/>
      <c r="D344" s="1" t="s">
        <v>370</v>
      </c>
      <c r="E344" s="22"/>
      <c r="F344" s="12" t="e">
        <f t="shared" si="16"/>
        <v>#VALUE!</v>
      </c>
      <c r="G344" s="6" t="e">
        <f t="shared" si="17"/>
        <v>#VALUE!</v>
      </c>
      <c r="H344" s="19">
        <f t="shared" si="18"/>
        <v>-19</v>
      </c>
      <c r="I344" s="25"/>
      <c r="J344" s="2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</row>
    <row r="345" spans="1:25">
      <c r="A345" s="43" t="s">
        <v>371</v>
      </c>
      <c r="B345" s="16"/>
      <c r="D345" s="1" t="s">
        <v>371</v>
      </c>
      <c r="E345" s="22"/>
      <c r="F345" s="12" t="e">
        <f t="shared" si="16"/>
        <v>#VALUE!</v>
      </c>
      <c r="G345" s="6" t="e">
        <f t="shared" si="17"/>
        <v>#VALUE!</v>
      </c>
      <c r="H345" s="19">
        <f t="shared" si="18"/>
        <v>-18</v>
      </c>
      <c r="I345" s="25"/>
      <c r="J345" s="2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</row>
    <row r="346" spans="1:25">
      <c r="A346" s="43" t="s">
        <v>372</v>
      </c>
      <c r="B346" s="16"/>
      <c r="D346" s="1" t="s">
        <v>372</v>
      </c>
      <c r="E346" s="22"/>
      <c r="F346" s="12" t="e">
        <f t="shared" si="16"/>
        <v>#VALUE!</v>
      </c>
      <c r="G346" s="6" t="e">
        <f t="shared" si="17"/>
        <v>#VALUE!</v>
      </c>
      <c r="H346" s="19">
        <f t="shared" si="18"/>
        <v>-17</v>
      </c>
      <c r="I346" s="25"/>
      <c r="J346" s="2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</row>
    <row r="347" spans="1:25">
      <c r="A347" s="43" t="s">
        <v>373</v>
      </c>
      <c r="B347" s="16"/>
      <c r="D347" s="1" t="s">
        <v>373</v>
      </c>
      <c r="E347" s="22"/>
      <c r="F347" s="12" t="e">
        <f t="shared" si="16"/>
        <v>#VALUE!</v>
      </c>
      <c r="G347" s="6" t="e">
        <f t="shared" si="17"/>
        <v>#VALUE!</v>
      </c>
      <c r="H347" s="19">
        <f t="shared" si="18"/>
        <v>-16</v>
      </c>
      <c r="I347" s="25"/>
      <c r="J347" s="2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</row>
    <row r="348" spans="1:25">
      <c r="A348" s="43" t="s">
        <v>374</v>
      </c>
      <c r="B348" s="16"/>
      <c r="D348" s="1" t="s">
        <v>374</v>
      </c>
      <c r="E348" s="22"/>
      <c r="F348" s="12" t="e">
        <f t="shared" si="16"/>
        <v>#VALUE!</v>
      </c>
      <c r="G348" s="6" t="e">
        <f t="shared" si="17"/>
        <v>#VALUE!</v>
      </c>
      <c r="H348" s="19">
        <f t="shared" si="18"/>
        <v>-15</v>
      </c>
      <c r="I348" s="25"/>
      <c r="J348" s="2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</row>
    <row r="349" spans="1:25">
      <c r="A349" s="43" t="s">
        <v>375</v>
      </c>
      <c r="B349" s="16"/>
      <c r="D349" s="1" t="s">
        <v>375</v>
      </c>
      <c r="E349" s="22"/>
      <c r="F349" s="12" t="e">
        <f t="shared" si="16"/>
        <v>#VALUE!</v>
      </c>
      <c r="G349" s="6" t="e">
        <f t="shared" si="17"/>
        <v>#VALUE!</v>
      </c>
      <c r="H349" s="19">
        <f t="shared" si="18"/>
        <v>-14</v>
      </c>
      <c r="I349" s="25"/>
      <c r="J349" s="2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</row>
    <row r="350" spans="1:25">
      <c r="A350" s="43" t="s">
        <v>376</v>
      </c>
      <c r="B350" s="16"/>
      <c r="D350" s="1" t="s">
        <v>376</v>
      </c>
      <c r="E350" s="22"/>
      <c r="F350" s="12" t="e">
        <f t="shared" si="16"/>
        <v>#VALUE!</v>
      </c>
      <c r="G350" s="6" t="e">
        <f t="shared" si="17"/>
        <v>#VALUE!</v>
      </c>
      <c r="H350" s="19">
        <f t="shared" si="18"/>
        <v>-13</v>
      </c>
      <c r="I350" s="25"/>
      <c r="J350" s="2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</row>
    <row r="351" spans="1:25">
      <c r="A351" s="43" t="s">
        <v>377</v>
      </c>
      <c r="B351" s="16"/>
      <c r="D351" s="1" t="s">
        <v>377</v>
      </c>
      <c r="E351" s="22"/>
      <c r="F351" s="12" t="e">
        <f t="shared" si="16"/>
        <v>#VALUE!</v>
      </c>
      <c r="G351" s="6" t="e">
        <f t="shared" si="17"/>
        <v>#VALUE!</v>
      </c>
      <c r="H351" s="19">
        <f t="shared" si="18"/>
        <v>-12</v>
      </c>
      <c r="I351" s="25"/>
      <c r="J351" s="2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</row>
    <row r="352" spans="1:25">
      <c r="A352" s="43" t="s">
        <v>378</v>
      </c>
      <c r="B352" s="16"/>
      <c r="D352" s="1" t="s">
        <v>378</v>
      </c>
      <c r="E352" s="22"/>
      <c r="F352" s="12" t="e">
        <f t="shared" si="16"/>
        <v>#VALUE!</v>
      </c>
      <c r="G352" s="6" t="e">
        <f t="shared" si="17"/>
        <v>#VALUE!</v>
      </c>
      <c r="H352" s="19">
        <f t="shared" si="18"/>
        <v>-11</v>
      </c>
      <c r="I352" s="25"/>
      <c r="J352" s="2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</row>
    <row r="353" spans="1:25">
      <c r="A353" s="43" t="s">
        <v>379</v>
      </c>
      <c r="B353" s="16"/>
      <c r="D353" s="1" t="s">
        <v>379</v>
      </c>
      <c r="E353" s="22"/>
      <c r="F353" s="12" t="e">
        <f t="shared" si="16"/>
        <v>#VALUE!</v>
      </c>
      <c r="G353" s="6" t="e">
        <f t="shared" si="17"/>
        <v>#VALUE!</v>
      </c>
      <c r="H353" s="19">
        <f t="shared" si="18"/>
        <v>-10</v>
      </c>
      <c r="I353" s="25"/>
      <c r="J353" s="2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</row>
    <row r="354" spans="1:25">
      <c r="A354" s="43" t="s">
        <v>380</v>
      </c>
      <c r="B354" s="16"/>
      <c r="D354" s="1" t="s">
        <v>380</v>
      </c>
      <c r="E354" s="22"/>
      <c r="F354" s="12" t="e">
        <f t="shared" si="16"/>
        <v>#VALUE!</v>
      </c>
      <c r="G354" s="6" t="e">
        <f t="shared" si="17"/>
        <v>#VALUE!</v>
      </c>
      <c r="H354" s="19">
        <f t="shared" si="18"/>
        <v>-9</v>
      </c>
      <c r="I354" s="25"/>
      <c r="J354" s="2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</row>
    <row r="355" spans="1:25">
      <c r="A355" s="43" t="s">
        <v>381</v>
      </c>
      <c r="B355" s="16"/>
      <c r="D355" s="1" t="s">
        <v>381</v>
      </c>
      <c r="E355" s="22"/>
      <c r="F355" s="12" t="e">
        <f t="shared" si="16"/>
        <v>#VALUE!</v>
      </c>
      <c r="G355" s="6" t="e">
        <f t="shared" si="17"/>
        <v>#VALUE!</v>
      </c>
      <c r="H355" s="19">
        <f t="shared" si="18"/>
        <v>-8</v>
      </c>
      <c r="I355" s="25"/>
      <c r="J355" s="2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</row>
    <row r="356" spans="1:25">
      <c r="A356" s="43" t="s">
        <v>382</v>
      </c>
      <c r="B356" s="16"/>
      <c r="D356" s="1" t="s">
        <v>382</v>
      </c>
      <c r="E356" s="22"/>
      <c r="F356" s="12" t="e">
        <f t="shared" si="16"/>
        <v>#VALUE!</v>
      </c>
      <c r="G356" s="6" t="e">
        <f t="shared" si="17"/>
        <v>#VALUE!</v>
      </c>
      <c r="H356" s="19">
        <f t="shared" si="18"/>
        <v>-7</v>
      </c>
      <c r="I356" s="25"/>
      <c r="J356" s="2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</row>
    <row r="357" spans="1:25">
      <c r="A357" s="43" t="s">
        <v>383</v>
      </c>
      <c r="B357" s="16"/>
      <c r="D357" s="1" t="s">
        <v>383</v>
      </c>
      <c r="E357" s="22"/>
      <c r="F357" s="12" t="e">
        <f t="shared" si="16"/>
        <v>#VALUE!</v>
      </c>
      <c r="G357" s="6" t="e">
        <f t="shared" si="17"/>
        <v>#VALUE!</v>
      </c>
      <c r="H357" s="19">
        <f t="shared" si="18"/>
        <v>-6</v>
      </c>
      <c r="I357" s="25"/>
      <c r="J357" s="2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</row>
    <row r="358" spans="1:25">
      <c r="A358" s="43" t="s">
        <v>384</v>
      </c>
      <c r="B358" s="16"/>
      <c r="D358" s="1" t="s">
        <v>384</v>
      </c>
      <c r="E358" s="22"/>
      <c r="F358" s="12" t="e">
        <f t="shared" si="16"/>
        <v>#VALUE!</v>
      </c>
      <c r="G358" s="6" t="e">
        <f t="shared" si="17"/>
        <v>#VALUE!</v>
      </c>
      <c r="H358" s="19">
        <f t="shared" si="18"/>
        <v>-5</v>
      </c>
      <c r="I358" s="25"/>
      <c r="J358" s="2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</row>
    <row r="359" spans="1:25">
      <c r="A359" s="43" t="s">
        <v>385</v>
      </c>
      <c r="B359" s="16"/>
      <c r="D359" s="1" t="s">
        <v>385</v>
      </c>
      <c r="E359" s="22"/>
      <c r="F359" s="12" t="e">
        <f t="shared" si="16"/>
        <v>#VALUE!</v>
      </c>
      <c r="G359" s="6" t="e">
        <f t="shared" si="17"/>
        <v>#VALUE!</v>
      </c>
      <c r="H359" s="19">
        <f t="shared" si="18"/>
        <v>-4</v>
      </c>
      <c r="I359" s="25"/>
      <c r="J359" s="2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</row>
    <row r="360" spans="1:25">
      <c r="A360" s="43" t="s">
        <v>386</v>
      </c>
      <c r="B360" s="16"/>
      <c r="D360" s="1" t="s">
        <v>386</v>
      </c>
      <c r="E360" s="22"/>
      <c r="F360" s="12" t="e">
        <f t="shared" si="16"/>
        <v>#VALUE!</v>
      </c>
      <c r="G360" s="6" t="e">
        <f t="shared" si="17"/>
        <v>#VALUE!</v>
      </c>
      <c r="H360" s="19">
        <f t="shared" si="18"/>
        <v>-3</v>
      </c>
      <c r="I360" s="25"/>
      <c r="J360" s="2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</row>
    <row r="361" spans="1:25">
      <c r="A361" s="43" t="s">
        <v>387</v>
      </c>
      <c r="B361" s="16"/>
      <c r="D361" s="1" t="s">
        <v>387</v>
      </c>
      <c r="E361" s="22"/>
      <c r="F361" s="12" t="e">
        <f t="shared" si="16"/>
        <v>#VALUE!</v>
      </c>
      <c r="G361" s="6" t="e">
        <f t="shared" si="17"/>
        <v>#VALUE!</v>
      </c>
      <c r="H361" s="19">
        <f t="shared" si="18"/>
        <v>-2</v>
      </c>
      <c r="I361" s="25"/>
      <c r="J361" s="2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</row>
    <row r="362" spans="1:25">
      <c r="A362" s="44" t="s">
        <v>388</v>
      </c>
      <c r="B362" s="17"/>
      <c r="D362" s="1" t="s">
        <v>388</v>
      </c>
      <c r="E362" s="23"/>
      <c r="F362" s="12" t="e">
        <f t="shared" si="16"/>
        <v>#VALUE!</v>
      </c>
      <c r="G362" s="6" t="e">
        <f t="shared" si="17"/>
        <v>#VALUE!</v>
      </c>
      <c r="H362" s="19">
        <f t="shared" si="18"/>
        <v>-1</v>
      </c>
      <c r="I362" s="25"/>
      <c r="J362" s="2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</row>
    <row r="363" spans="1:25">
      <c r="E363" s="2"/>
      <c r="G363" s="6"/>
      <c r="H363" s="19">
        <f t="shared" si="18"/>
        <v>0</v>
      </c>
      <c r="I363" s="25"/>
      <c r="J363" s="2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</row>
    <row r="364" spans="1:25">
      <c r="E364"/>
      <c r="G364" s="6"/>
      <c r="H364" s="19">
        <f t="shared" si="18"/>
        <v>1</v>
      </c>
      <c r="I364" s="25"/>
      <c r="J364" s="2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</row>
    <row r="365" spans="1:25">
      <c r="E365"/>
      <c r="G365" s="6"/>
      <c r="H365" s="19">
        <f t="shared" si="18"/>
        <v>2</v>
      </c>
      <c r="I365" s="25"/>
      <c r="J365" s="2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</row>
    <row r="366" spans="1:25">
      <c r="E366"/>
      <c r="G366" s="6"/>
      <c r="H366" s="19">
        <f t="shared" si="18"/>
        <v>3</v>
      </c>
      <c r="I366" s="25"/>
      <c r="J366" s="2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</row>
    <row r="367" spans="1:25">
      <c r="E367"/>
      <c r="G367" s="6"/>
      <c r="H367" s="19">
        <f t="shared" si="18"/>
        <v>4</v>
      </c>
      <c r="I367" s="25"/>
      <c r="J367" s="2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</row>
    <row r="368" spans="1:25">
      <c r="E368"/>
      <c r="G368" s="6"/>
      <c r="H368" s="19">
        <f t="shared" si="18"/>
        <v>5</v>
      </c>
      <c r="I368" s="25"/>
      <c r="J368" s="2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</row>
    <row r="369" spans="5:25">
      <c r="E369"/>
      <c r="G369" s="6"/>
      <c r="H369" s="19">
        <f t="shared" si="18"/>
        <v>6</v>
      </c>
      <c r="I369" s="25"/>
      <c r="J369" s="2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</row>
    <row r="370" spans="5:25">
      <c r="E370"/>
      <c r="G370" s="6"/>
      <c r="H370" s="19">
        <f t="shared" si="18"/>
        <v>7</v>
      </c>
      <c r="I370" s="25"/>
      <c r="J370" s="2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</row>
    <row r="371" spans="5:25">
      <c r="E371"/>
      <c r="G371" s="6"/>
      <c r="H371" s="19">
        <f t="shared" si="18"/>
        <v>8</v>
      </c>
      <c r="I371" s="25"/>
      <c r="J371" s="2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</row>
    <row r="372" spans="5:25">
      <c r="E372"/>
      <c r="G372" s="6"/>
      <c r="H372" s="19">
        <f t="shared" si="18"/>
        <v>9</v>
      </c>
      <c r="I372" s="25"/>
      <c r="J372" s="2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</row>
    <row r="373" spans="5:25">
      <c r="E373"/>
      <c r="G373" s="6"/>
      <c r="H373" s="19">
        <f t="shared" si="18"/>
        <v>10</v>
      </c>
      <c r="I373" s="25"/>
      <c r="J373" s="2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</row>
    <row r="374" spans="5:25">
      <c r="E374"/>
      <c r="G374" s="6"/>
      <c r="H374" s="19">
        <f t="shared" si="18"/>
        <v>11</v>
      </c>
      <c r="I374" s="25"/>
      <c r="J374" s="2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</row>
    <row r="375" spans="5:25">
      <c r="E375"/>
      <c r="G375" s="6"/>
      <c r="H375" s="19">
        <f t="shared" si="18"/>
        <v>12</v>
      </c>
      <c r="I375" s="25"/>
      <c r="J375" s="2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</row>
    <row r="376" spans="5:25">
      <c r="E376"/>
      <c r="G376" s="6"/>
      <c r="H376" s="19">
        <f t="shared" si="18"/>
        <v>13</v>
      </c>
      <c r="I376" s="25"/>
      <c r="J376" s="2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</row>
    <row r="377" spans="5:25">
      <c r="E377"/>
      <c r="G377" s="6"/>
      <c r="H377" s="19">
        <f t="shared" si="18"/>
        <v>14</v>
      </c>
      <c r="I377" s="25"/>
      <c r="J377" s="2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</row>
    <row r="378" spans="5:25">
      <c r="E378"/>
      <c r="G378" s="6"/>
      <c r="H378" s="19">
        <f t="shared" si="18"/>
        <v>15</v>
      </c>
      <c r="I378" s="25"/>
      <c r="J378" s="2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</row>
    <row r="379" spans="5:25">
      <c r="E379"/>
      <c r="G379" s="6"/>
      <c r="H379" s="19">
        <f t="shared" si="18"/>
        <v>16</v>
      </c>
      <c r="I379" s="25"/>
      <c r="J379" s="2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</row>
    <row r="380" spans="5:25">
      <c r="E380"/>
      <c r="G380" s="6"/>
      <c r="H380" s="19">
        <f t="shared" si="18"/>
        <v>17</v>
      </c>
      <c r="I380" s="25"/>
      <c r="J380" s="2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</row>
    <row r="381" spans="5:25">
      <c r="E381"/>
      <c r="G381" s="6"/>
      <c r="H381" s="19">
        <f t="shared" si="18"/>
        <v>18</v>
      </c>
      <c r="I381" s="25"/>
      <c r="J381" s="2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</row>
    <row r="382" spans="5:25">
      <c r="E382"/>
      <c r="G382" s="6"/>
      <c r="H382" s="19">
        <f t="shared" si="18"/>
        <v>19</v>
      </c>
      <c r="I382" s="25"/>
      <c r="J382" s="2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</row>
    <row r="383" spans="5:25">
      <c r="E383"/>
      <c r="G383" s="6"/>
      <c r="H383" s="19">
        <f t="shared" si="18"/>
        <v>20</v>
      </c>
      <c r="I383" s="25"/>
      <c r="J383" s="2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</row>
    <row r="384" spans="5:25">
      <c r="E384"/>
      <c r="G384" s="6"/>
      <c r="H384" s="19">
        <f t="shared" si="18"/>
        <v>21</v>
      </c>
      <c r="I384" s="25"/>
      <c r="J384" s="2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</row>
    <row r="385" spans="5:25">
      <c r="E385"/>
      <c r="G385" s="6"/>
      <c r="H385" s="19">
        <f t="shared" si="18"/>
        <v>22</v>
      </c>
      <c r="I385" s="25"/>
      <c r="J385" s="2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</row>
    <row r="386" spans="5:25">
      <c r="E386"/>
      <c r="G386" s="6"/>
      <c r="H386" s="19">
        <f t="shared" si="18"/>
        <v>23</v>
      </c>
      <c r="I386" s="25"/>
      <c r="J386" s="2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</row>
    <row r="387" spans="5:25">
      <c r="E387"/>
      <c r="G387" s="6"/>
      <c r="H387" s="19">
        <f t="shared" si="18"/>
        <v>24</v>
      </c>
      <c r="I387" s="25"/>
      <c r="J387" s="2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</row>
    <row r="388" spans="5:25">
      <c r="E388"/>
      <c r="G388" s="6"/>
      <c r="H388" s="19">
        <f t="shared" si="18"/>
        <v>25</v>
      </c>
      <c r="I388" s="25"/>
      <c r="J388" s="2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</row>
    <row r="389" spans="5:25">
      <c r="E389"/>
      <c r="G389" s="6"/>
      <c r="H389" s="19">
        <f t="shared" ref="H389:H452" si="19">H388+1</f>
        <v>26</v>
      </c>
      <c r="I389" s="25"/>
      <c r="J389" s="2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</row>
    <row r="390" spans="5:25">
      <c r="E390"/>
      <c r="G390" s="6"/>
      <c r="H390" s="19">
        <f t="shared" si="19"/>
        <v>27</v>
      </c>
      <c r="I390" s="25"/>
      <c r="J390" s="2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</row>
    <row r="391" spans="5:25">
      <c r="E391"/>
      <c r="G391" s="6"/>
      <c r="H391" s="19">
        <f t="shared" si="19"/>
        <v>28</v>
      </c>
      <c r="I391" s="25"/>
      <c r="J391" s="2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</row>
    <row r="392" spans="5:25">
      <c r="E392"/>
      <c r="G392" s="6"/>
      <c r="H392" s="19">
        <f t="shared" si="19"/>
        <v>29</v>
      </c>
      <c r="I392" s="25"/>
      <c r="J392" s="2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</row>
    <row r="393" spans="5:25">
      <c r="E393"/>
      <c r="G393" s="6"/>
      <c r="H393" s="19">
        <f t="shared" si="19"/>
        <v>30</v>
      </c>
      <c r="I393" s="25"/>
      <c r="J393" s="2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</row>
    <row r="394" spans="5:25">
      <c r="E394"/>
      <c r="G394" s="6"/>
      <c r="H394" s="19">
        <f t="shared" si="19"/>
        <v>31</v>
      </c>
      <c r="I394" s="25"/>
      <c r="J394" s="2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</row>
    <row r="395" spans="5:25">
      <c r="E395"/>
      <c r="G395" s="6"/>
      <c r="H395" s="19">
        <f t="shared" si="19"/>
        <v>32</v>
      </c>
      <c r="I395" s="25"/>
      <c r="J395" s="2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</row>
    <row r="396" spans="5:25">
      <c r="E396"/>
      <c r="G396" s="6"/>
      <c r="H396" s="19">
        <f t="shared" si="19"/>
        <v>33</v>
      </c>
      <c r="I396" s="25"/>
      <c r="J396" s="2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</row>
    <row r="397" spans="5:25">
      <c r="E397"/>
      <c r="G397" s="6"/>
      <c r="H397" s="19">
        <f t="shared" si="19"/>
        <v>34</v>
      </c>
      <c r="I397" s="25"/>
      <c r="J397" s="2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</row>
    <row r="398" spans="5:25">
      <c r="E398"/>
      <c r="G398" s="6"/>
      <c r="H398" s="19">
        <f t="shared" si="19"/>
        <v>35</v>
      </c>
      <c r="I398" s="25"/>
      <c r="J398" s="2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</row>
    <row r="399" spans="5:25">
      <c r="E399"/>
      <c r="G399" s="6"/>
      <c r="H399" s="19">
        <f t="shared" si="19"/>
        <v>36</v>
      </c>
      <c r="I399" s="25"/>
      <c r="J399" s="2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</row>
    <row r="400" spans="5:25">
      <c r="E400"/>
      <c r="G400" s="6"/>
      <c r="H400" s="19">
        <f t="shared" si="19"/>
        <v>37</v>
      </c>
      <c r="I400" s="25"/>
      <c r="J400" s="2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</row>
    <row r="401" spans="5:25">
      <c r="E401"/>
      <c r="G401" s="6"/>
      <c r="H401" s="19">
        <f t="shared" si="19"/>
        <v>38</v>
      </c>
      <c r="I401" s="25"/>
      <c r="J401" s="2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</row>
    <row r="402" spans="5:25">
      <c r="E402"/>
      <c r="G402" s="6"/>
      <c r="H402" s="19">
        <f t="shared" si="19"/>
        <v>39</v>
      </c>
      <c r="I402" s="25"/>
      <c r="J402" s="2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</row>
    <row r="403" spans="5:25">
      <c r="E403"/>
      <c r="G403" s="6"/>
      <c r="H403" s="19">
        <f t="shared" si="19"/>
        <v>40</v>
      </c>
      <c r="I403" s="25"/>
      <c r="J403" s="2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</row>
    <row r="404" spans="5:25">
      <c r="E404"/>
      <c r="G404" s="6"/>
      <c r="H404" s="19">
        <f t="shared" si="19"/>
        <v>41</v>
      </c>
      <c r="I404" s="25"/>
      <c r="J404" s="2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</row>
    <row r="405" spans="5:25">
      <c r="E405"/>
      <c r="G405" s="6"/>
      <c r="H405" s="19">
        <f t="shared" si="19"/>
        <v>42</v>
      </c>
      <c r="I405" s="25"/>
      <c r="J405" s="2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</row>
    <row r="406" spans="5:25">
      <c r="E406"/>
      <c r="G406" s="6"/>
      <c r="H406" s="19">
        <f t="shared" si="19"/>
        <v>43</v>
      </c>
      <c r="I406" s="25"/>
      <c r="J406" s="2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</row>
    <row r="407" spans="5:25">
      <c r="E407"/>
      <c r="G407" s="6"/>
      <c r="H407" s="19">
        <f t="shared" si="19"/>
        <v>44</v>
      </c>
      <c r="I407" s="25"/>
      <c r="J407" s="2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</row>
    <row r="408" spans="5:25">
      <c r="E408"/>
      <c r="G408" s="6"/>
      <c r="H408" s="19">
        <f t="shared" si="19"/>
        <v>45</v>
      </c>
      <c r="I408" s="25"/>
      <c r="J408" s="2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</row>
    <row r="409" spans="5:25">
      <c r="E409"/>
      <c r="G409" s="6"/>
      <c r="H409" s="19">
        <f t="shared" si="19"/>
        <v>46</v>
      </c>
      <c r="I409" s="25"/>
      <c r="J409" s="2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</row>
    <row r="410" spans="5:25">
      <c r="E410"/>
      <c r="G410" s="6"/>
      <c r="H410" s="19">
        <f t="shared" si="19"/>
        <v>47</v>
      </c>
      <c r="I410" s="25"/>
      <c r="J410" s="2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</row>
    <row r="411" spans="5:25">
      <c r="E411"/>
      <c r="G411" s="6"/>
      <c r="H411" s="19">
        <f t="shared" si="19"/>
        <v>48</v>
      </c>
      <c r="I411" s="25"/>
      <c r="J411" s="2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</row>
    <row r="412" spans="5:25">
      <c r="E412"/>
      <c r="G412" s="6"/>
      <c r="H412" s="19">
        <f t="shared" si="19"/>
        <v>49</v>
      </c>
      <c r="I412" s="25"/>
      <c r="J412" s="2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</row>
    <row r="413" spans="5:25">
      <c r="E413"/>
      <c r="G413" s="6"/>
      <c r="H413" s="19">
        <f t="shared" si="19"/>
        <v>50</v>
      </c>
      <c r="I413" s="25"/>
      <c r="J413" s="2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</row>
    <row r="414" spans="5:25">
      <c r="E414"/>
      <c r="G414" s="6"/>
      <c r="H414" s="19">
        <f t="shared" si="19"/>
        <v>51</v>
      </c>
      <c r="I414" s="25"/>
      <c r="J414" s="2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</row>
    <row r="415" spans="5:25">
      <c r="E415"/>
      <c r="G415" s="6"/>
      <c r="H415" s="19">
        <f t="shared" si="19"/>
        <v>52</v>
      </c>
      <c r="I415" s="25"/>
      <c r="J415" s="2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</row>
    <row r="416" spans="5:25">
      <c r="E416"/>
      <c r="G416" s="6"/>
      <c r="H416" s="19">
        <f t="shared" si="19"/>
        <v>53</v>
      </c>
      <c r="I416" s="25"/>
      <c r="J416" s="2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</row>
    <row r="417" spans="5:25">
      <c r="E417"/>
      <c r="G417" s="6"/>
      <c r="H417" s="19">
        <f t="shared" si="19"/>
        <v>54</v>
      </c>
      <c r="I417" s="25"/>
      <c r="J417" s="2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</row>
    <row r="418" spans="5:25">
      <c r="E418"/>
      <c r="G418" s="6"/>
      <c r="H418" s="19">
        <f t="shared" si="19"/>
        <v>55</v>
      </c>
      <c r="I418" s="25"/>
      <c r="J418" s="2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</row>
    <row r="419" spans="5:25">
      <c r="E419"/>
      <c r="G419" s="6"/>
      <c r="H419" s="19">
        <f t="shared" si="19"/>
        <v>56</v>
      </c>
      <c r="I419" s="25"/>
      <c r="J419" s="2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</row>
    <row r="420" spans="5:25">
      <c r="E420"/>
      <c r="G420" s="6"/>
      <c r="H420" s="19">
        <f t="shared" si="19"/>
        <v>57</v>
      </c>
      <c r="I420" s="25"/>
      <c r="J420" s="2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</row>
    <row r="421" spans="5:25">
      <c r="E421"/>
      <c r="G421" s="6"/>
      <c r="H421" s="19">
        <f t="shared" si="19"/>
        <v>58</v>
      </c>
      <c r="I421" s="25"/>
      <c r="J421" s="2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</row>
    <row r="422" spans="5:25">
      <c r="E422"/>
      <c r="G422" s="6"/>
      <c r="H422" s="19">
        <f t="shared" si="19"/>
        <v>59</v>
      </c>
      <c r="I422" s="25"/>
      <c r="J422" s="2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</row>
    <row r="423" spans="5:25">
      <c r="E423"/>
      <c r="G423" s="6"/>
      <c r="H423" s="19">
        <f t="shared" si="19"/>
        <v>60</v>
      </c>
      <c r="I423" s="25"/>
      <c r="J423" s="2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</row>
    <row r="424" spans="5:25">
      <c r="E424"/>
      <c r="G424" s="6"/>
      <c r="H424" s="19">
        <f t="shared" si="19"/>
        <v>61</v>
      </c>
      <c r="I424" s="25"/>
      <c r="J424" s="2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</row>
    <row r="425" spans="5:25">
      <c r="E425"/>
      <c r="G425" s="6"/>
      <c r="H425" s="19">
        <f t="shared" si="19"/>
        <v>62</v>
      </c>
      <c r="I425" s="25"/>
      <c r="J425" s="2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</row>
    <row r="426" spans="5:25">
      <c r="E426"/>
      <c r="G426" s="6"/>
      <c r="H426" s="19">
        <f t="shared" si="19"/>
        <v>63</v>
      </c>
      <c r="I426" s="25"/>
      <c r="J426" s="2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</row>
    <row r="427" spans="5:25">
      <c r="E427"/>
      <c r="G427" s="6"/>
      <c r="H427" s="19">
        <f t="shared" si="19"/>
        <v>64</v>
      </c>
      <c r="I427" s="25"/>
      <c r="J427" s="2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</row>
    <row r="428" spans="5:25">
      <c r="E428"/>
      <c r="G428" s="6"/>
      <c r="H428" s="19">
        <f t="shared" si="19"/>
        <v>65</v>
      </c>
      <c r="I428" s="25"/>
      <c r="J428" s="2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</row>
    <row r="429" spans="5:25">
      <c r="E429"/>
      <c r="G429" s="6"/>
      <c r="H429" s="19">
        <f t="shared" si="19"/>
        <v>66</v>
      </c>
      <c r="I429" s="25"/>
      <c r="J429" s="2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</row>
    <row r="430" spans="5:25">
      <c r="E430"/>
      <c r="G430" s="6"/>
      <c r="H430" s="19">
        <f t="shared" si="19"/>
        <v>67</v>
      </c>
      <c r="I430" s="25"/>
      <c r="J430" s="2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</row>
    <row r="431" spans="5:25">
      <c r="E431"/>
      <c r="G431" s="6"/>
      <c r="H431" s="19">
        <f t="shared" si="19"/>
        <v>68</v>
      </c>
      <c r="I431" s="25"/>
      <c r="J431" s="2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</row>
    <row r="432" spans="5:25">
      <c r="E432"/>
      <c r="G432" s="6"/>
      <c r="H432" s="19">
        <f t="shared" si="19"/>
        <v>69</v>
      </c>
      <c r="I432" s="25"/>
      <c r="J432" s="2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</row>
    <row r="433" spans="5:25">
      <c r="E433"/>
      <c r="G433" s="6"/>
      <c r="H433" s="19">
        <f t="shared" si="19"/>
        <v>70</v>
      </c>
      <c r="I433" s="25"/>
      <c r="J433" s="2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</row>
    <row r="434" spans="5:25">
      <c r="E434"/>
      <c r="G434" s="6"/>
      <c r="H434" s="19">
        <f t="shared" si="19"/>
        <v>71</v>
      </c>
      <c r="I434" s="25"/>
      <c r="J434" s="2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</row>
    <row r="435" spans="5:25">
      <c r="E435"/>
      <c r="G435" s="6"/>
      <c r="H435" s="19">
        <f t="shared" si="19"/>
        <v>72</v>
      </c>
      <c r="I435" s="25"/>
      <c r="J435" s="2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</row>
    <row r="436" spans="5:25">
      <c r="E436"/>
      <c r="G436" s="6"/>
      <c r="H436" s="19">
        <f t="shared" si="19"/>
        <v>73</v>
      </c>
      <c r="I436" s="25"/>
      <c r="J436" s="2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</row>
    <row r="437" spans="5:25">
      <c r="E437"/>
      <c r="G437" s="6"/>
      <c r="H437" s="19">
        <f t="shared" si="19"/>
        <v>74</v>
      </c>
      <c r="I437" s="25"/>
      <c r="J437" s="2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</row>
    <row r="438" spans="5:25">
      <c r="E438"/>
      <c r="G438" s="6"/>
      <c r="H438" s="19">
        <f t="shared" si="19"/>
        <v>75</v>
      </c>
      <c r="I438" s="25"/>
      <c r="J438" s="2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</row>
    <row r="439" spans="5:25">
      <c r="E439"/>
      <c r="G439" s="6"/>
      <c r="H439" s="19">
        <f t="shared" si="19"/>
        <v>76</v>
      </c>
      <c r="I439" s="25"/>
      <c r="J439" s="2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</row>
    <row r="440" spans="5:25">
      <c r="E440"/>
      <c r="G440" s="6"/>
      <c r="H440" s="19">
        <f t="shared" si="19"/>
        <v>77</v>
      </c>
      <c r="I440" s="25"/>
      <c r="J440" s="2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</row>
    <row r="441" spans="5:25">
      <c r="E441"/>
      <c r="G441" s="6"/>
      <c r="H441" s="19">
        <f t="shared" si="19"/>
        <v>78</v>
      </c>
      <c r="I441" s="25"/>
      <c r="J441" s="2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</row>
    <row r="442" spans="5:25">
      <c r="E442"/>
      <c r="G442" s="6"/>
      <c r="H442" s="19">
        <f t="shared" si="19"/>
        <v>79</v>
      </c>
      <c r="I442" s="25"/>
      <c r="J442" s="2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</row>
    <row r="443" spans="5:25">
      <c r="E443"/>
      <c r="G443" s="6"/>
      <c r="H443" s="19">
        <f t="shared" si="19"/>
        <v>80</v>
      </c>
      <c r="I443" s="25"/>
      <c r="J443" s="2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</row>
    <row r="444" spans="5:25">
      <c r="E444"/>
      <c r="G444" s="6"/>
      <c r="H444" s="19">
        <f t="shared" si="19"/>
        <v>81</v>
      </c>
      <c r="I444" s="25"/>
      <c r="J444" s="2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</row>
    <row r="445" spans="5:25">
      <c r="E445"/>
      <c r="G445" s="6"/>
      <c r="H445" s="19">
        <f t="shared" si="19"/>
        <v>82</v>
      </c>
      <c r="I445" s="25"/>
      <c r="J445" s="2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</row>
    <row r="446" spans="5:25">
      <c r="E446"/>
      <c r="G446" s="6"/>
      <c r="H446" s="19">
        <f t="shared" si="19"/>
        <v>83</v>
      </c>
      <c r="I446" s="25"/>
      <c r="J446" s="2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</row>
    <row r="447" spans="5:25">
      <c r="E447"/>
      <c r="G447" s="6"/>
      <c r="H447" s="19">
        <f t="shared" si="19"/>
        <v>84</v>
      </c>
      <c r="I447" s="25"/>
      <c r="J447" s="2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</row>
    <row r="448" spans="5:25">
      <c r="E448"/>
      <c r="G448" s="6"/>
      <c r="H448" s="19">
        <f t="shared" si="19"/>
        <v>85</v>
      </c>
      <c r="I448" s="25"/>
      <c r="J448" s="2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</row>
    <row r="449" spans="5:25">
      <c r="E449"/>
      <c r="G449" s="6"/>
      <c r="H449" s="19">
        <f t="shared" si="19"/>
        <v>86</v>
      </c>
      <c r="I449" s="25"/>
      <c r="J449" s="2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</row>
    <row r="450" spans="5:25">
      <c r="E450"/>
      <c r="G450" s="6"/>
      <c r="H450" s="19">
        <f t="shared" si="19"/>
        <v>87</v>
      </c>
      <c r="I450" s="25"/>
      <c r="J450" s="2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</row>
    <row r="451" spans="5:25">
      <c r="E451"/>
      <c r="G451" s="6"/>
      <c r="H451" s="19">
        <f t="shared" si="19"/>
        <v>88</v>
      </c>
      <c r="I451" s="25"/>
      <c r="J451" s="2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</row>
    <row r="452" spans="5:25">
      <c r="E452"/>
      <c r="G452" s="6"/>
      <c r="H452" s="19">
        <f t="shared" si="19"/>
        <v>89</v>
      </c>
      <c r="I452" s="25"/>
      <c r="J452" s="2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</row>
    <row r="453" spans="5:25">
      <c r="E453"/>
      <c r="G453" s="6"/>
      <c r="H453" s="19">
        <f t="shared" ref="H453:H516" si="20">H452+1</f>
        <v>90</v>
      </c>
      <c r="I453" s="25"/>
      <c r="J453" s="2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</row>
    <row r="454" spans="5:25">
      <c r="E454"/>
      <c r="G454" s="6"/>
      <c r="H454" s="19">
        <f t="shared" si="20"/>
        <v>91</v>
      </c>
      <c r="I454" s="25"/>
      <c r="J454" s="2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</row>
    <row r="455" spans="5:25">
      <c r="E455"/>
      <c r="G455" s="6"/>
      <c r="H455" s="19">
        <f t="shared" si="20"/>
        <v>92</v>
      </c>
      <c r="I455" s="25"/>
      <c r="J455" s="2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</row>
    <row r="456" spans="5:25">
      <c r="E456"/>
      <c r="G456" s="6"/>
      <c r="H456" s="19">
        <f t="shared" si="20"/>
        <v>93</v>
      </c>
      <c r="I456" s="25"/>
      <c r="J456" s="2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</row>
    <row r="457" spans="5:25">
      <c r="E457"/>
      <c r="G457" s="6"/>
      <c r="H457" s="19">
        <f t="shared" si="20"/>
        <v>94</v>
      </c>
      <c r="I457" s="25"/>
      <c r="J457" s="2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</row>
    <row r="458" spans="5:25">
      <c r="E458"/>
      <c r="G458" s="6"/>
      <c r="H458" s="19">
        <f t="shared" si="20"/>
        <v>95</v>
      </c>
      <c r="I458" s="25"/>
      <c r="J458" s="2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</row>
    <row r="459" spans="5:25">
      <c r="E459"/>
      <c r="G459" s="6"/>
      <c r="H459" s="19">
        <f t="shared" si="20"/>
        <v>96</v>
      </c>
      <c r="I459" s="25"/>
      <c r="J459" s="2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</row>
    <row r="460" spans="5:25">
      <c r="E460"/>
      <c r="G460" s="6"/>
      <c r="H460" s="19">
        <f t="shared" si="20"/>
        <v>97</v>
      </c>
      <c r="I460" s="25"/>
      <c r="J460" s="2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</row>
    <row r="461" spans="5:25">
      <c r="E461"/>
      <c r="G461" s="6"/>
      <c r="H461" s="19">
        <f t="shared" si="20"/>
        <v>98</v>
      </c>
      <c r="I461" s="25"/>
      <c r="J461" s="2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</row>
    <row r="462" spans="5:25">
      <c r="E462"/>
      <c r="G462" s="6"/>
      <c r="H462" s="19">
        <f t="shared" si="20"/>
        <v>99</v>
      </c>
      <c r="I462" s="25"/>
      <c r="J462" s="2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</row>
    <row r="463" spans="5:25">
      <c r="E463"/>
      <c r="G463" s="6"/>
      <c r="H463" s="19">
        <f t="shared" si="20"/>
        <v>100</v>
      </c>
      <c r="I463" s="25"/>
      <c r="J463" s="2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</row>
    <row r="464" spans="5:25">
      <c r="E464"/>
      <c r="G464" s="6"/>
      <c r="H464" s="19">
        <f t="shared" si="20"/>
        <v>101</v>
      </c>
      <c r="I464" s="25"/>
      <c r="J464" s="2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</row>
    <row r="465" spans="5:25">
      <c r="E465"/>
      <c r="G465" s="6"/>
      <c r="H465" s="19">
        <f t="shared" si="20"/>
        <v>102</v>
      </c>
      <c r="I465" s="25"/>
      <c r="J465" s="2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</row>
    <row r="466" spans="5:25">
      <c r="E466"/>
      <c r="G466" s="6"/>
      <c r="H466" s="19">
        <f t="shared" si="20"/>
        <v>103</v>
      </c>
      <c r="I466" s="25"/>
      <c r="J466" s="2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</row>
    <row r="467" spans="5:25">
      <c r="E467"/>
      <c r="G467" s="6"/>
      <c r="H467" s="19">
        <f t="shared" si="20"/>
        <v>104</v>
      </c>
      <c r="I467" s="25"/>
      <c r="J467" s="2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</row>
    <row r="468" spans="5:25">
      <c r="E468"/>
      <c r="G468" s="6"/>
      <c r="H468" s="19">
        <f t="shared" si="20"/>
        <v>105</v>
      </c>
      <c r="I468" s="25"/>
      <c r="J468" s="2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</row>
    <row r="469" spans="5:25">
      <c r="E469"/>
      <c r="G469" s="6"/>
      <c r="H469" s="19">
        <f t="shared" si="20"/>
        <v>106</v>
      </c>
      <c r="I469" s="25"/>
      <c r="J469" s="2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</row>
    <row r="470" spans="5:25">
      <c r="E470"/>
      <c r="G470" s="6"/>
      <c r="H470" s="19">
        <f t="shared" si="20"/>
        <v>107</v>
      </c>
      <c r="I470" s="25"/>
      <c r="J470" s="2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</row>
    <row r="471" spans="5:25">
      <c r="E471"/>
      <c r="G471" s="6"/>
      <c r="H471" s="19">
        <f t="shared" si="20"/>
        <v>108</v>
      </c>
      <c r="I471" s="25"/>
      <c r="J471" s="2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</row>
    <row r="472" spans="5:25">
      <c r="E472"/>
      <c r="G472" s="6"/>
      <c r="H472" s="19">
        <f t="shared" si="20"/>
        <v>109</v>
      </c>
      <c r="I472" s="25"/>
      <c r="J472" s="2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</row>
    <row r="473" spans="5:25">
      <c r="E473"/>
      <c r="G473" s="6"/>
      <c r="H473" s="19">
        <f t="shared" si="20"/>
        <v>110</v>
      </c>
      <c r="I473" s="25"/>
      <c r="J473" s="2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</row>
    <row r="474" spans="5:25">
      <c r="E474"/>
      <c r="G474" s="6"/>
      <c r="H474" s="19">
        <f t="shared" si="20"/>
        <v>111</v>
      </c>
      <c r="I474" s="25"/>
      <c r="J474" s="2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</row>
    <row r="475" spans="5:25">
      <c r="E475"/>
      <c r="G475" s="6"/>
      <c r="H475" s="19">
        <f t="shared" si="20"/>
        <v>112</v>
      </c>
      <c r="I475" s="25"/>
      <c r="J475" s="2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</row>
    <row r="476" spans="5:25">
      <c r="E476"/>
      <c r="G476" s="6"/>
      <c r="H476" s="19">
        <f t="shared" si="20"/>
        <v>113</v>
      </c>
      <c r="I476" s="25"/>
      <c r="J476" s="2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</row>
    <row r="477" spans="5:25">
      <c r="E477"/>
      <c r="G477" s="6"/>
      <c r="H477" s="19">
        <f t="shared" si="20"/>
        <v>114</v>
      </c>
      <c r="I477" s="25"/>
      <c r="J477" s="2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</row>
    <row r="478" spans="5:25">
      <c r="E478"/>
      <c r="G478" s="6"/>
      <c r="H478" s="19">
        <f t="shared" si="20"/>
        <v>115</v>
      </c>
      <c r="I478" s="25"/>
      <c r="J478" s="2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</row>
    <row r="479" spans="5:25">
      <c r="E479"/>
      <c r="G479" s="6"/>
      <c r="H479" s="19">
        <f t="shared" si="20"/>
        <v>116</v>
      </c>
      <c r="I479" s="25"/>
      <c r="J479" s="2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</row>
    <row r="480" spans="5:25">
      <c r="E480"/>
      <c r="G480" s="6"/>
      <c r="H480" s="19">
        <f t="shared" si="20"/>
        <v>117</v>
      </c>
      <c r="I480" s="25"/>
      <c r="J480" s="2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</row>
    <row r="481" spans="5:25">
      <c r="E481"/>
      <c r="G481" s="6"/>
      <c r="H481" s="19">
        <f t="shared" si="20"/>
        <v>118</v>
      </c>
      <c r="I481" s="25"/>
      <c r="J481" s="2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</row>
    <row r="482" spans="5:25">
      <c r="E482"/>
      <c r="G482" s="6"/>
      <c r="H482" s="19">
        <f t="shared" si="20"/>
        <v>119</v>
      </c>
      <c r="I482" s="25"/>
      <c r="J482" s="2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</row>
    <row r="483" spans="5:25">
      <c r="E483"/>
      <c r="G483" s="6"/>
      <c r="H483" s="19">
        <f t="shared" si="20"/>
        <v>120</v>
      </c>
      <c r="I483" s="25"/>
      <c r="J483" s="2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</row>
    <row r="484" spans="5:25">
      <c r="E484"/>
      <c r="G484" s="6"/>
      <c r="H484" s="19">
        <f t="shared" si="20"/>
        <v>121</v>
      </c>
      <c r="I484" s="25"/>
      <c r="J484" s="2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</row>
    <row r="485" spans="5:25">
      <c r="E485"/>
      <c r="G485" s="6"/>
      <c r="H485" s="19">
        <f t="shared" si="20"/>
        <v>122</v>
      </c>
      <c r="I485" s="25"/>
      <c r="J485" s="2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</row>
    <row r="486" spans="5:25">
      <c r="E486"/>
      <c r="G486" s="6"/>
      <c r="H486" s="19">
        <f t="shared" si="20"/>
        <v>123</v>
      </c>
      <c r="I486" s="25"/>
      <c r="J486" s="2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</row>
    <row r="487" spans="5:25">
      <c r="E487"/>
      <c r="G487" s="6"/>
      <c r="H487" s="19">
        <f t="shared" si="20"/>
        <v>124</v>
      </c>
      <c r="I487" s="25"/>
      <c r="J487" s="2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</row>
    <row r="488" spans="5:25">
      <c r="E488"/>
      <c r="G488" s="6"/>
      <c r="H488" s="19">
        <f t="shared" si="20"/>
        <v>125</v>
      </c>
      <c r="I488" s="25"/>
      <c r="J488" s="2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</row>
    <row r="489" spans="5:25">
      <c r="E489"/>
      <c r="G489" s="6"/>
      <c r="H489" s="19">
        <f t="shared" si="20"/>
        <v>126</v>
      </c>
      <c r="I489" s="25"/>
      <c r="J489" s="2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</row>
    <row r="490" spans="5:25">
      <c r="E490"/>
      <c r="G490" s="6"/>
      <c r="H490" s="19">
        <f t="shared" si="20"/>
        <v>127</v>
      </c>
      <c r="I490" s="25"/>
      <c r="J490" s="2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</row>
    <row r="491" spans="5:25">
      <c r="E491"/>
      <c r="G491" s="6"/>
      <c r="H491" s="19">
        <f t="shared" si="20"/>
        <v>128</v>
      </c>
      <c r="I491" s="25"/>
      <c r="J491" s="2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</row>
    <row r="492" spans="5:25">
      <c r="E492"/>
      <c r="G492" s="6"/>
      <c r="H492" s="19">
        <f t="shared" si="20"/>
        <v>129</v>
      </c>
      <c r="I492" s="25"/>
      <c r="J492" s="2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</row>
    <row r="493" spans="5:25">
      <c r="E493"/>
      <c r="G493" s="6"/>
      <c r="H493" s="19">
        <f t="shared" si="20"/>
        <v>130</v>
      </c>
      <c r="I493" s="25"/>
      <c r="J493" s="2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</row>
    <row r="494" spans="5:25">
      <c r="E494"/>
      <c r="G494" s="6"/>
      <c r="H494" s="19">
        <f t="shared" si="20"/>
        <v>131</v>
      </c>
      <c r="I494" s="25"/>
      <c r="J494" s="2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</row>
    <row r="495" spans="5:25">
      <c r="E495"/>
      <c r="G495" s="6"/>
      <c r="H495" s="19">
        <f t="shared" si="20"/>
        <v>132</v>
      </c>
      <c r="I495" s="25"/>
      <c r="J495" s="2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</row>
    <row r="496" spans="5:25">
      <c r="E496"/>
      <c r="G496" s="6"/>
      <c r="H496" s="19">
        <f t="shared" si="20"/>
        <v>133</v>
      </c>
      <c r="I496" s="25"/>
      <c r="J496" s="2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</row>
    <row r="497" spans="5:25">
      <c r="E497"/>
      <c r="G497" s="6"/>
      <c r="H497" s="19">
        <f t="shared" si="20"/>
        <v>134</v>
      </c>
      <c r="I497" s="25"/>
      <c r="J497" s="2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</row>
    <row r="498" spans="5:25">
      <c r="E498"/>
      <c r="G498" s="6"/>
      <c r="H498" s="19">
        <f t="shared" si="20"/>
        <v>135</v>
      </c>
      <c r="I498" s="25"/>
      <c r="J498" s="2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</row>
    <row r="499" spans="5:25">
      <c r="E499"/>
      <c r="G499" s="6"/>
      <c r="H499" s="19">
        <f t="shared" si="20"/>
        <v>136</v>
      </c>
      <c r="I499" s="25"/>
      <c r="J499" s="2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</row>
    <row r="500" spans="5:25">
      <c r="E500"/>
      <c r="G500" s="6"/>
      <c r="H500" s="19">
        <f t="shared" si="20"/>
        <v>137</v>
      </c>
      <c r="I500" s="25"/>
      <c r="J500" s="2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</row>
    <row r="501" spans="5:25">
      <c r="E501"/>
      <c r="G501" s="6"/>
      <c r="H501" s="19">
        <f t="shared" si="20"/>
        <v>138</v>
      </c>
      <c r="I501" s="25"/>
      <c r="J501" s="2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</row>
    <row r="502" spans="5:25">
      <c r="E502"/>
      <c r="G502" s="6"/>
      <c r="H502" s="19">
        <f t="shared" si="20"/>
        <v>139</v>
      </c>
      <c r="I502" s="25"/>
      <c r="J502" s="2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</row>
    <row r="503" spans="5:25">
      <c r="E503"/>
      <c r="G503" s="6"/>
      <c r="H503" s="19">
        <f t="shared" si="20"/>
        <v>140</v>
      </c>
      <c r="I503" s="25"/>
      <c r="J503" s="2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</row>
    <row r="504" spans="5:25">
      <c r="E504"/>
      <c r="G504" s="6"/>
      <c r="H504" s="19">
        <f t="shared" si="20"/>
        <v>141</v>
      </c>
      <c r="I504" s="25"/>
      <c r="J504" s="2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</row>
    <row r="505" spans="5:25">
      <c r="E505"/>
      <c r="G505" s="6"/>
      <c r="H505" s="19">
        <f t="shared" si="20"/>
        <v>142</v>
      </c>
      <c r="I505" s="25"/>
      <c r="J505" s="2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</row>
    <row r="506" spans="5:25">
      <c r="E506"/>
      <c r="G506" s="6"/>
      <c r="H506" s="19">
        <f t="shared" si="20"/>
        <v>143</v>
      </c>
      <c r="I506" s="25"/>
      <c r="J506" s="2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</row>
    <row r="507" spans="5:25">
      <c r="E507"/>
      <c r="G507" s="6"/>
      <c r="H507" s="19">
        <f t="shared" si="20"/>
        <v>144</v>
      </c>
      <c r="I507" s="25"/>
      <c r="J507" s="2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</row>
    <row r="508" spans="5:25">
      <c r="E508"/>
      <c r="G508" s="6"/>
      <c r="H508" s="19">
        <f t="shared" si="20"/>
        <v>145</v>
      </c>
      <c r="I508" s="25"/>
      <c r="J508" s="2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</row>
    <row r="509" spans="5:25">
      <c r="E509"/>
      <c r="G509" s="6"/>
      <c r="H509" s="19">
        <f t="shared" si="20"/>
        <v>146</v>
      </c>
      <c r="I509" s="25"/>
      <c r="J509" s="2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</row>
    <row r="510" spans="5:25">
      <c r="E510"/>
      <c r="G510" s="6"/>
      <c r="H510" s="19">
        <f t="shared" si="20"/>
        <v>147</v>
      </c>
      <c r="I510" s="25"/>
      <c r="J510" s="2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</row>
    <row r="511" spans="5:25">
      <c r="E511"/>
      <c r="G511" s="6"/>
      <c r="H511" s="19">
        <f t="shared" si="20"/>
        <v>148</v>
      </c>
      <c r="I511" s="25"/>
      <c r="J511" s="2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</row>
    <row r="512" spans="5:25">
      <c r="E512"/>
      <c r="G512" s="6"/>
      <c r="H512" s="19">
        <f t="shared" si="20"/>
        <v>149</v>
      </c>
      <c r="I512" s="25"/>
      <c r="J512" s="2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</row>
    <row r="513" spans="5:25">
      <c r="E513"/>
      <c r="G513" s="6"/>
      <c r="H513" s="19">
        <f t="shared" si="20"/>
        <v>150</v>
      </c>
      <c r="I513" s="25"/>
      <c r="J513" s="2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</row>
    <row r="514" spans="5:25">
      <c r="E514"/>
      <c r="G514" s="6"/>
      <c r="H514" s="19">
        <f t="shared" si="20"/>
        <v>151</v>
      </c>
      <c r="I514" s="25"/>
      <c r="J514" s="2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</row>
    <row r="515" spans="5:25">
      <c r="E515"/>
      <c r="G515" s="6"/>
      <c r="H515" s="19">
        <f t="shared" si="20"/>
        <v>152</v>
      </c>
      <c r="I515" s="25"/>
      <c r="J515" s="2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</row>
    <row r="516" spans="5:25">
      <c r="E516"/>
      <c r="G516" s="6"/>
      <c r="H516" s="19">
        <f t="shared" si="20"/>
        <v>153</v>
      </c>
      <c r="I516" s="25"/>
      <c r="J516" s="2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</row>
    <row r="517" spans="5:25">
      <c r="E517"/>
      <c r="G517" s="6"/>
      <c r="H517" s="19">
        <f t="shared" ref="H517:H580" si="21">H516+1</f>
        <v>154</v>
      </c>
      <c r="I517" s="25"/>
      <c r="J517" s="2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</row>
    <row r="518" spans="5:25">
      <c r="E518"/>
      <c r="G518" s="6"/>
      <c r="H518" s="19">
        <f t="shared" si="21"/>
        <v>155</v>
      </c>
      <c r="I518" s="25"/>
      <c r="J518" s="2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</row>
    <row r="519" spans="5:25">
      <c r="E519"/>
      <c r="G519" s="6"/>
      <c r="H519" s="19">
        <f t="shared" si="21"/>
        <v>156</v>
      </c>
      <c r="I519" s="25"/>
      <c r="J519" s="2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</row>
    <row r="520" spans="5:25">
      <c r="E520"/>
      <c r="G520" s="6"/>
      <c r="H520" s="19">
        <f t="shared" si="21"/>
        <v>157</v>
      </c>
      <c r="I520" s="25"/>
      <c r="J520" s="2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</row>
    <row r="521" spans="5:25">
      <c r="E521"/>
      <c r="G521" s="6"/>
      <c r="H521" s="19">
        <f t="shared" si="21"/>
        <v>158</v>
      </c>
      <c r="I521" s="25"/>
      <c r="J521" s="2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</row>
    <row r="522" spans="5:25">
      <c r="E522"/>
      <c r="G522" s="6"/>
      <c r="H522" s="19">
        <f t="shared" si="21"/>
        <v>159</v>
      </c>
      <c r="I522" s="25"/>
      <c r="J522" s="2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</row>
    <row r="523" spans="5:25">
      <c r="E523"/>
      <c r="G523" s="6"/>
      <c r="H523" s="19">
        <f t="shared" si="21"/>
        <v>160</v>
      </c>
      <c r="I523" s="25"/>
      <c r="J523" s="2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</row>
    <row r="524" spans="5:25">
      <c r="E524"/>
      <c r="G524" s="6"/>
      <c r="H524" s="19">
        <f t="shared" si="21"/>
        <v>161</v>
      </c>
      <c r="I524" s="25"/>
      <c r="J524" s="2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</row>
    <row r="525" spans="5:25">
      <c r="E525"/>
      <c r="G525" s="6"/>
      <c r="H525" s="19">
        <f t="shared" si="21"/>
        <v>162</v>
      </c>
      <c r="I525" s="25"/>
      <c r="J525" s="2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</row>
    <row r="526" spans="5:25">
      <c r="E526"/>
      <c r="G526" s="6"/>
      <c r="H526" s="19">
        <f t="shared" si="21"/>
        <v>163</v>
      </c>
      <c r="I526" s="25"/>
      <c r="J526" s="2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</row>
    <row r="527" spans="5:25">
      <c r="E527"/>
      <c r="G527" s="6"/>
      <c r="H527" s="19">
        <f t="shared" si="21"/>
        <v>164</v>
      </c>
      <c r="I527" s="25"/>
      <c r="J527" s="2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</row>
    <row r="528" spans="5:25">
      <c r="E528"/>
      <c r="G528" s="6"/>
      <c r="H528" s="19">
        <f t="shared" si="21"/>
        <v>165</v>
      </c>
      <c r="I528" s="25"/>
      <c r="J528" s="2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</row>
    <row r="529" spans="5:25">
      <c r="E529"/>
      <c r="G529" s="6"/>
      <c r="H529" s="19">
        <f t="shared" si="21"/>
        <v>166</v>
      </c>
      <c r="I529" s="25"/>
      <c r="J529" s="2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</row>
    <row r="530" spans="5:25">
      <c r="E530"/>
      <c r="G530" s="6"/>
      <c r="H530" s="19">
        <f t="shared" si="21"/>
        <v>167</v>
      </c>
      <c r="I530" s="25"/>
      <c r="J530" s="2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</row>
    <row r="531" spans="5:25">
      <c r="E531"/>
      <c r="G531" s="6"/>
      <c r="H531" s="19">
        <f t="shared" si="21"/>
        <v>168</v>
      </c>
      <c r="I531" s="25"/>
      <c r="J531" s="2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</row>
    <row r="532" spans="5:25">
      <c r="E532"/>
      <c r="G532" s="6"/>
      <c r="H532" s="19">
        <f t="shared" si="21"/>
        <v>169</v>
      </c>
      <c r="I532" s="25"/>
      <c r="J532" s="2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</row>
    <row r="533" spans="5:25">
      <c r="E533"/>
      <c r="G533" s="6"/>
      <c r="H533" s="19">
        <f t="shared" si="21"/>
        <v>170</v>
      </c>
      <c r="I533" s="25"/>
      <c r="J533" s="2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</row>
    <row r="534" spans="5:25">
      <c r="E534"/>
      <c r="G534" s="6"/>
      <c r="H534" s="19">
        <f t="shared" si="21"/>
        <v>171</v>
      </c>
      <c r="I534" s="25"/>
      <c r="J534" s="2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</row>
    <row r="535" spans="5:25">
      <c r="E535"/>
      <c r="G535" s="6"/>
      <c r="H535" s="19">
        <f t="shared" si="21"/>
        <v>172</v>
      </c>
      <c r="I535" s="25"/>
      <c r="J535" s="2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</row>
    <row r="536" spans="5:25">
      <c r="E536"/>
      <c r="G536" s="6"/>
      <c r="H536" s="19">
        <f t="shared" si="21"/>
        <v>173</v>
      </c>
      <c r="I536" s="25"/>
      <c r="J536" s="2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</row>
    <row r="537" spans="5:25">
      <c r="E537"/>
      <c r="G537" s="6"/>
      <c r="H537" s="19">
        <f t="shared" si="21"/>
        <v>174</v>
      </c>
      <c r="I537" s="25"/>
      <c r="J537" s="2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</row>
    <row r="538" spans="5:25">
      <c r="E538"/>
      <c r="G538" s="6"/>
      <c r="H538" s="19">
        <f t="shared" si="21"/>
        <v>175</v>
      </c>
      <c r="I538" s="25"/>
      <c r="J538" s="2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</row>
    <row r="539" spans="5:25">
      <c r="E539"/>
      <c r="G539" s="6"/>
      <c r="H539" s="19">
        <f t="shared" si="21"/>
        <v>176</v>
      </c>
      <c r="I539" s="25"/>
      <c r="J539" s="2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</row>
    <row r="540" spans="5:25">
      <c r="E540"/>
      <c r="G540" s="6"/>
      <c r="H540" s="19">
        <f t="shared" si="21"/>
        <v>177</v>
      </c>
      <c r="I540" s="25"/>
      <c r="J540" s="2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</row>
    <row r="541" spans="5:25">
      <c r="E541"/>
      <c r="G541" s="6"/>
      <c r="H541" s="19">
        <f t="shared" si="21"/>
        <v>178</v>
      </c>
      <c r="I541" s="25"/>
      <c r="J541" s="2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</row>
    <row r="542" spans="5:25">
      <c r="E542"/>
      <c r="G542" s="6"/>
      <c r="H542" s="19">
        <f t="shared" si="21"/>
        <v>179</v>
      </c>
      <c r="I542" s="25"/>
      <c r="J542" s="2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</row>
    <row r="543" spans="5:25">
      <c r="E543"/>
      <c r="G543" s="6"/>
      <c r="H543" s="19">
        <f t="shared" si="21"/>
        <v>180</v>
      </c>
      <c r="I543" s="25"/>
      <c r="J543" s="2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</row>
    <row r="544" spans="5:25">
      <c r="E544"/>
      <c r="G544" s="6"/>
      <c r="H544" s="19">
        <f t="shared" si="21"/>
        <v>181</v>
      </c>
      <c r="I544" s="25"/>
      <c r="J544" s="2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</row>
    <row r="545" spans="5:25">
      <c r="E545"/>
      <c r="G545" s="6"/>
      <c r="H545" s="19">
        <f t="shared" si="21"/>
        <v>182</v>
      </c>
      <c r="I545" s="25"/>
      <c r="J545" s="2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</row>
    <row r="546" spans="5:25">
      <c r="E546"/>
      <c r="G546" s="6"/>
      <c r="H546" s="19">
        <f t="shared" si="21"/>
        <v>183</v>
      </c>
      <c r="I546" s="25"/>
      <c r="J546" s="2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</row>
    <row r="547" spans="5:25">
      <c r="E547"/>
      <c r="G547" s="6"/>
      <c r="H547" s="19">
        <f t="shared" si="21"/>
        <v>184</v>
      </c>
      <c r="I547" s="25"/>
      <c r="J547" s="2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</row>
    <row r="548" spans="5:25">
      <c r="E548"/>
      <c r="G548" s="6"/>
      <c r="H548" s="19">
        <f t="shared" si="21"/>
        <v>185</v>
      </c>
      <c r="I548" s="25"/>
      <c r="J548" s="2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</row>
    <row r="549" spans="5:25">
      <c r="E549"/>
      <c r="G549" s="6"/>
      <c r="H549" s="19">
        <f t="shared" si="21"/>
        <v>186</v>
      </c>
      <c r="I549" s="25"/>
      <c r="J549" s="2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</row>
    <row r="550" spans="5:25">
      <c r="E550"/>
      <c r="G550" s="6"/>
      <c r="H550" s="19">
        <f t="shared" si="21"/>
        <v>187</v>
      </c>
      <c r="I550" s="25"/>
      <c r="J550" s="2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</row>
    <row r="551" spans="5:25">
      <c r="E551"/>
      <c r="G551" s="6"/>
      <c r="H551" s="19">
        <f t="shared" si="21"/>
        <v>188</v>
      </c>
      <c r="I551" s="25"/>
      <c r="J551" s="2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</row>
    <row r="552" spans="5:25">
      <c r="E552"/>
      <c r="G552" s="6"/>
      <c r="H552" s="19">
        <f t="shared" si="21"/>
        <v>189</v>
      </c>
      <c r="I552" s="25"/>
      <c r="J552" s="2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</row>
    <row r="553" spans="5:25">
      <c r="E553"/>
      <c r="G553" s="6"/>
      <c r="H553" s="19">
        <f t="shared" si="21"/>
        <v>190</v>
      </c>
      <c r="I553" s="25"/>
      <c r="J553" s="2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</row>
    <row r="554" spans="5:25">
      <c r="E554"/>
      <c r="G554" s="6"/>
      <c r="H554" s="19">
        <f t="shared" si="21"/>
        <v>191</v>
      </c>
      <c r="I554" s="25"/>
      <c r="J554" s="2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</row>
    <row r="555" spans="5:25">
      <c r="E555"/>
      <c r="G555" s="6"/>
      <c r="H555" s="19">
        <f t="shared" si="21"/>
        <v>192</v>
      </c>
      <c r="I555" s="25"/>
      <c r="J555" s="2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</row>
    <row r="556" spans="5:25">
      <c r="E556"/>
      <c r="G556" s="6"/>
      <c r="H556" s="19">
        <f t="shared" si="21"/>
        <v>193</v>
      </c>
      <c r="I556" s="25"/>
      <c r="J556" s="2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</row>
    <row r="557" spans="5:25">
      <c r="E557"/>
      <c r="G557" s="6"/>
      <c r="H557" s="19">
        <f t="shared" si="21"/>
        <v>194</v>
      </c>
      <c r="I557" s="25"/>
      <c r="J557" s="2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</row>
    <row r="558" spans="5:25">
      <c r="E558"/>
      <c r="G558" s="6"/>
      <c r="H558" s="19">
        <f t="shared" si="21"/>
        <v>195</v>
      </c>
      <c r="I558" s="25"/>
      <c r="J558" s="2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</row>
    <row r="559" spans="5:25">
      <c r="E559"/>
      <c r="G559" s="6"/>
      <c r="H559" s="19">
        <f t="shared" si="21"/>
        <v>196</v>
      </c>
      <c r="I559" s="25"/>
      <c r="J559" s="2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</row>
    <row r="560" spans="5:25">
      <c r="E560"/>
      <c r="G560" s="6"/>
      <c r="H560" s="19">
        <f t="shared" si="21"/>
        <v>197</v>
      </c>
      <c r="I560" s="25"/>
      <c r="J560" s="2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</row>
    <row r="561" spans="5:25">
      <c r="E561"/>
      <c r="G561" s="6"/>
      <c r="H561" s="19">
        <f t="shared" si="21"/>
        <v>198</v>
      </c>
      <c r="I561" s="25"/>
      <c r="J561" s="2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</row>
    <row r="562" spans="5:25">
      <c r="E562"/>
      <c r="G562" s="6"/>
      <c r="H562" s="19">
        <f t="shared" si="21"/>
        <v>199</v>
      </c>
      <c r="I562" s="25"/>
      <c r="J562" s="2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</row>
    <row r="563" spans="5:25">
      <c r="E563"/>
      <c r="G563" s="6"/>
      <c r="H563" s="19">
        <f t="shared" si="21"/>
        <v>200</v>
      </c>
      <c r="I563" s="25"/>
      <c r="J563" s="2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</row>
    <row r="564" spans="5:25">
      <c r="E564"/>
      <c r="G564" s="6"/>
      <c r="H564" s="19">
        <f t="shared" si="21"/>
        <v>201</v>
      </c>
      <c r="I564" s="25"/>
      <c r="J564" s="2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</row>
    <row r="565" spans="5:25">
      <c r="E565"/>
      <c r="G565" s="6"/>
      <c r="H565" s="19">
        <f t="shared" si="21"/>
        <v>202</v>
      </c>
      <c r="I565" s="25"/>
      <c r="J565" s="2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</row>
    <row r="566" spans="5:25">
      <c r="E566"/>
      <c r="G566" s="6"/>
      <c r="H566" s="19">
        <f t="shared" si="21"/>
        <v>203</v>
      </c>
      <c r="I566" s="25"/>
      <c r="J566" s="2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</row>
    <row r="567" spans="5:25">
      <c r="E567"/>
      <c r="G567" s="6"/>
      <c r="H567" s="19">
        <f t="shared" si="21"/>
        <v>204</v>
      </c>
      <c r="I567" s="25"/>
      <c r="J567" s="2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</row>
    <row r="568" spans="5:25">
      <c r="E568"/>
      <c r="G568" s="6"/>
      <c r="H568" s="19">
        <f t="shared" si="21"/>
        <v>205</v>
      </c>
      <c r="I568" s="25"/>
      <c r="J568" s="2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</row>
    <row r="569" spans="5:25">
      <c r="E569"/>
      <c r="G569" s="6"/>
      <c r="H569" s="19">
        <f t="shared" si="21"/>
        <v>206</v>
      </c>
      <c r="I569" s="25"/>
      <c r="J569" s="2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</row>
    <row r="570" spans="5:25">
      <c r="E570"/>
      <c r="G570" s="6"/>
      <c r="H570" s="19">
        <f t="shared" si="21"/>
        <v>207</v>
      </c>
      <c r="I570" s="25"/>
      <c r="J570" s="2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</row>
    <row r="571" spans="5:25">
      <c r="E571"/>
      <c r="G571" s="6"/>
      <c r="H571" s="19">
        <f t="shared" si="21"/>
        <v>208</v>
      </c>
      <c r="I571" s="25"/>
      <c r="J571" s="2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</row>
    <row r="572" spans="5:25">
      <c r="E572"/>
      <c r="G572" s="6"/>
      <c r="H572" s="19">
        <f t="shared" si="21"/>
        <v>209</v>
      </c>
      <c r="I572" s="25"/>
      <c r="J572" s="2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</row>
    <row r="573" spans="5:25">
      <c r="E573"/>
      <c r="G573" s="6"/>
      <c r="H573" s="19">
        <f t="shared" si="21"/>
        <v>210</v>
      </c>
      <c r="I573" s="25"/>
      <c r="J573" s="2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</row>
    <row r="574" spans="5:25">
      <c r="E574"/>
      <c r="G574" s="6"/>
      <c r="H574" s="19">
        <f t="shared" si="21"/>
        <v>211</v>
      </c>
      <c r="I574" s="25"/>
      <c r="J574" s="2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</row>
    <row r="575" spans="5:25">
      <c r="E575"/>
      <c r="G575" s="6"/>
      <c r="H575" s="19">
        <f t="shared" si="21"/>
        <v>212</v>
      </c>
      <c r="I575" s="25"/>
      <c r="J575" s="2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</row>
    <row r="576" spans="5:25">
      <c r="E576"/>
      <c r="G576" s="6"/>
      <c r="H576" s="19">
        <f t="shared" si="21"/>
        <v>213</v>
      </c>
      <c r="I576" s="25"/>
      <c r="J576" s="2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</row>
    <row r="577" spans="5:25">
      <c r="E577"/>
      <c r="G577" s="6"/>
      <c r="H577" s="19">
        <f t="shared" si="21"/>
        <v>214</v>
      </c>
      <c r="I577" s="25"/>
      <c r="J577" s="2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</row>
    <row r="578" spans="5:25">
      <c r="E578"/>
      <c r="G578" s="6"/>
      <c r="H578" s="19">
        <f t="shared" si="21"/>
        <v>215</v>
      </c>
      <c r="I578" s="25"/>
      <c r="J578" s="2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</row>
    <row r="579" spans="5:25">
      <c r="E579"/>
      <c r="G579" s="6"/>
      <c r="H579" s="19">
        <f t="shared" si="21"/>
        <v>216</v>
      </c>
      <c r="I579" s="25"/>
      <c r="J579" s="2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</row>
    <row r="580" spans="5:25">
      <c r="E580"/>
      <c r="G580" s="6"/>
      <c r="H580" s="19">
        <f t="shared" si="21"/>
        <v>217</v>
      </c>
      <c r="I580" s="25"/>
      <c r="J580" s="2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</row>
    <row r="581" spans="5:25">
      <c r="E581"/>
      <c r="G581" s="6"/>
      <c r="H581" s="19">
        <f t="shared" ref="H581:H644" si="22">H580+1</f>
        <v>218</v>
      </c>
      <c r="I581" s="25"/>
      <c r="J581" s="2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</row>
    <row r="582" spans="5:25">
      <c r="E582"/>
      <c r="G582" s="6"/>
      <c r="H582" s="19">
        <f t="shared" si="22"/>
        <v>219</v>
      </c>
      <c r="I582" s="25"/>
      <c r="J582" s="2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</row>
    <row r="583" spans="5:25">
      <c r="E583"/>
      <c r="G583" s="6"/>
      <c r="H583" s="19">
        <f t="shared" si="22"/>
        <v>220</v>
      </c>
      <c r="I583" s="25"/>
      <c r="J583" s="2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</row>
    <row r="584" spans="5:25">
      <c r="E584"/>
      <c r="G584" s="6"/>
      <c r="H584" s="19">
        <f t="shared" si="22"/>
        <v>221</v>
      </c>
      <c r="I584" s="25"/>
      <c r="J584" s="2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</row>
    <row r="585" spans="5:25">
      <c r="E585"/>
      <c r="G585" s="6"/>
      <c r="H585" s="19">
        <f t="shared" si="22"/>
        <v>222</v>
      </c>
      <c r="I585" s="25"/>
      <c r="J585" s="2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</row>
    <row r="586" spans="5:25">
      <c r="E586"/>
      <c r="G586" s="6"/>
      <c r="H586" s="19">
        <f t="shared" si="22"/>
        <v>223</v>
      </c>
      <c r="I586" s="25"/>
      <c r="J586" s="2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</row>
    <row r="587" spans="5:25">
      <c r="E587"/>
      <c r="G587" s="6"/>
      <c r="H587" s="19">
        <f t="shared" si="22"/>
        <v>224</v>
      </c>
      <c r="I587" s="25"/>
      <c r="J587" s="2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</row>
    <row r="588" spans="5:25">
      <c r="E588"/>
      <c r="G588" s="6"/>
      <c r="H588" s="19">
        <f t="shared" si="22"/>
        <v>225</v>
      </c>
      <c r="I588" s="25"/>
      <c r="J588" s="2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</row>
    <row r="589" spans="5:25">
      <c r="E589"/>
      <c r="G589" s="6"/>
      <c r="H589" s="19">
        <f t="shared" si="22"/>
        <v>226</v>
      </c>
      <c r="I589" s="25"/>
      <c r="J589" s="2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</row>
    <row r="590" spans="5:25">
      <c r="E590"/>
      <c r="G590" s="6"/>
      <c r="H590" s="19">
        <f t="shared" si="22"/>
        <v>227</v>
      </c>
      <c r="I590" s="25"/>
      <c r="J590" s="2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</row>
    <row r="591" spans="5:25">
      <c r="E591"/>
      <c r="G591" s="6"/>
      <c r="H591" s="19">
        <f t="shared" si="22"/>
        <v>228</v>
      </c>
      <c r="I591" s="25"/>
      <c r="J591" s="2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</row>
    <row r="592" spans="5:25">
      <c r="E592"/>
      <c r="G592" s="6"/>
      <c r="H592" s="19">
        <f t="shared" si="22"/>
        <v>229</v>
      </c>
      <c r="I592" s="25"/>
      <c r="J592" s="2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</row>
    <row r="593" spans="5:25">
      <c r="E593"/>
      <c r="G593" s="6"/>
      <c r="H593" s="19">
        <f t="shared" si="22"/>
        <v>230</v>
      </c>
      <c r="I593" s="25"/>
      <c r="J593" s="2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</row>
    <row r="594" spans="5:25">
      <c r="E594"/>
      <c r="G594" s="6"/>
      <c r="H594" s="19">
        <f t="shared" si="22"/>
        <v>231</v>
      </c>
      <c r="I594" s="25"/>
      <c r="J594" s="2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</row>
    <row r="595" spans="5:25">
      <c r="E595"/>
      <c r="G595" s="6"/>
      <c r="H595" s="19">
        <f t="shared" si="22"/>
        <v>232</v>
      </c>
      <c r="I595" s="25"/>
      <c r="J595" s="2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</row>
    <row r="596" spans="5:25">
      <c r="E596"/>
      <c r="G596" s="6"/>
      <c r="H596" s="19">
        <f t="shared" si="22"/>
        <v>233</v>
      </c>
      <c r="I596" s="25"/>
      <c r="J596" s="2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</row>
    <row r="597" spans="5:25">
      <c r="E597"/>
      <c r="G597" s="6"/>
      <c r="H597" s="19">
        <f t="shared" si="22"/>
        <v>234</v>
      </c>
      <c r="I597" s="25"/>
      <c r="J597" s="2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</row>
    <row r="598" spans="5:25">
      <c r="E598"/>
      <c r="G598" s="6"/>
      <c r="H598" s="19">
        <f t="shared" si="22"/>
        <v>235</v>
      </c>
      <c r="I598" s="25"/>
      <c r="J598" s="2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</row>
    <row r="599" spans="5:25">
      <c r="E599"/>
      <c r="G599" s="6"/>
      <c r="H599" s="19">
        <f t="shared" si="22"/>
        <v>236</v>
      </c>
      <c r="I599" s="25"/>
      <c r="J599" s="2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</row>
    <row r="600" spans="5:25">
      <c r="E600"/>
      <c r="G600" s="6"/>
      <c r="H600" s="19">
        <f t="shared" si="22"/>
        <v>237</v>
      </c>
      <c r="I600" s="25"/>
      <c r="J600" s="2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</row>
    <row r="601" spans="5:25">
      <c r="E601"/>
      <c r="G601" s="6"/>
      <c r="H601" s="19">
        <f t="shared" si="22"/>
        <v>238</v>
      </c>
      <c r="I601" s="25"/>
      <c r="J601" s="2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</row>
    <row r="602" spans="5:25">
      <c r="E602"/>
      <c r="G602" s="6"/>
      <c r="H602" s="19">
        <f t="shared" si="22"/>
        <v>239</v>
      </c>
      <c r="I602" s="25"/>
      <c r="J602" s="2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</row>
    <row r="603" spans="5:25">
      <c r="E603"/>
      <c r="G603" s="6"/>
      <c r="H603" s="19">
        <f t="shared" si="22"/>
        <v>240</v>
      </c>
      <c r="I603" s="25"/>
      <c r="J603" s="2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</row>
    <row r="604" spans="5:25">
      <c r="E604"/>
      <c r="G604" s="6"/>
      <c r="H604" s="19">
        <f t="shared" si="22"/>
        <v>241</v>
      </c>
      <c r="I604" s="25"/>
      <c r="J604" s="2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</row>
    <row r="605" spans="5:25">
      <c r="E605"/>
      <c r="G605" s="6"/>
      <c r="H605" s="19">
        <f t="shared" si="22"/>
        <v>242</v>
      </c>
      <c r="I605" s="25"/>
      <c r="J605" s="2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</row>
    <row r="606" spans="5:25">
      <c r="E606"/>
      <c r="G606" s="6"/>
      <c r="H606" s="19">
        <f t="shared" si="22"/>
        <v>243</v>
      </c>
      <c r="I606" s="25"/>
      <c r="J606" s="2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</row>
    <row r="607" spans="5:25">
      <c r="E607"/>
      <c r="G607" s="6"/>
      <c r="H607" s="19">
        <f t="shared" si="22"/>
        <v>244</v>
      </c>
      <c r="I607" s="25"/>
      <c r="J607" s="2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</row>
    <row r="608" spans="5:25">
      <c r="E608"/>
      <c r="G608" s="6"/>
      <c r="H608" s="19">
        <f t="shared" si="22"/>
        <v>245</v>
      </c>
      <c r="I608" s="25"/>
      <c r="J608" s="2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</row>
    <row r="609" spans="5:25">
      <c r="E609"/>
      <c r="G609" s="6"/>
      <c r="H609" s="19">
        <f t="shared" si="22"/>
        <v>246</v>
      </c>
      <c r="I609" s="25"/>
      <c r="J609" s="2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</row>
    <row r="610" spans="5:25">
      <c r="E610"/>
      <c r="G610" s="6"/>
      <c r="H610" s="19">
        <f t="shared" si="22"/>
        <v>247</v>
      </c>
      <c r="I610" s="25"/>
      <c r="J610" s="2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</row>
    <row r="611" spans="5:25">
      <c r="E611"/>
      <c r="G611" s="6"/>
      <c r="H611" s="19">
        <f t="shared" si="22"/>
        <v>248</v>
      </c>
      <c r="I611" s="25"/>
      <c r="J611" s="2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</row>
    <row r="612" spans="5:25">
      <c r="E612"/>
      <c r="G612" s="6"/>
      <c r="H612" s="19">
        <f t="shared" si="22"/>
        <v>249</v>
      </c>
      <c r="I612" s="25"/>
      <c r="J612" s="2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</row>
    <row r="613" spans="5:25">
      <c r="E613"/>
      <c r="G613" s="6"/>
      <c r="H613" s="19">
        <f t="shared" si="22"/>
        <v>250</v>
      </c>
      <c r="I613" s="25"/>
      <c r="J613" s="2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</row>
    <row r="614" spans="5:25">
      <c r="E614"/>
      <c r="G614" s="6"/>
      <c r="H614" s="19">
        <f t="shared" si="22"/>
        <v>251</v>
      </c>
      <c r="I614" s="25"/>
      <c r="J614" s="2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</row>
    <row r="615" spans="5:25">
      <c r="E615"/>
      <c r="G615" s="6"/>
      <c r="H615" s="19">
        <f t="shared" si="22"/>
        <v>252</v>
      </c>
      <c r="I615" s="25"/>
      <c r="J615" s="2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</row>
    <row r="616" spans="5:25">
      <c r="E616"/>
      <c r="G616" s="6"/>
      <c r="H616" s="19">
        <f t="shared" si="22"/>
        <v>253</v>
      </c>
      <c r="I616" s="25"/>
      <c r="J616" s="2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</row>
    <row r="617" spans="5:25">
      <c r="E617"/>
      <c r="G617" s="6"/>
      <c r="H617" s="19">
        <f t="shared" si="22"/>
        <v>254</v>
      </c>
      <c r="I617" s="25"/>
      <c r="J617" s="2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</row>
    <row r="618" spans="5:25">
      <c r="E618"/>
      <c r="G618" s="6"/>
      <c r="H618" s="19">
        <f t="shared" si="22"/>
        <v>255</v>
      </c>
      <c r="I618" s="25"/>
      <c r="J618" s="2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</row>
    <row r="619" spans="5:25">
      <c r="E619"/>
      <c r="G619" s="6"/>
      <c r="H619" s="19">
        <f t="shared" si="22"/>
        <v>256</v>
      </c>
      <c r="I619" s="25"/>
      <c r="J619" s="2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</row>
    <row r="620" spans="5:25">
      <c r="E620"/>
      <c r="G620" s="6"/>
      <c r="H620" s="19">
        <f t="shared" si="22"/>
        <v>257</v>
      </c>
      <c r="I620" s="25"/>
      <c r="J620" s="2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</row>
    <row r="621" spans="5:25">
      <c r="E621"/>
      <c r="G621" s="6"/>
      <c r="H621" s="19">
        <f t="shared" si="22"/>
        <v>258</v>
      </c>
      <c r="I621" s="25"/>
      <c r="J621" s="2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</row>
    <row r="622" spans="5:25">
      <c r="E622"/>
      <c r="G622" s="6"/>
      <c r="H622" s="19">
        <f t="shared" si="22"/>
        <v>259</v>
      </c>
      <c r="I622" s="25"/>
      <c r="J622" s="2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</row>
    <row r="623" spans="5:25">
      <c r="E623"/>
      <c r="G623" s="6"/>
      <c r="H623" s="19">
        <f t="shared" si="22"/>
        <v>260</v>
      </c>
      <c r="I623" s="25"/>
      <c r="J623" s="2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</row>
    <row r="624" spans="5:25">
      <c r="E624"/>
      <c r="G624" s="6"/>
      <c r="H624" s="19">
        <f t="shared" si="22"/>
        <v>261</v>
      </c>
      <c r="I624" s="25"/>
      <c r="J624" s="2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</row>
    <row r="625" spans="5:25">
      <c r="E625"/>
      <c r="G625" s="6"/>
      <c r="H625" s="19">
        <f t="shared" si="22"/>
        <v>262</v>
      </c>
      <c r="I625" s="25"/>
      <c r="J625" s="2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</row>
    <row r="626" spans="5:25">
      <c r="E626"/>
      <c r="G626" s="6"/>
      <c r="H626" s="19">
        <f t="shared" si="22"/>
        <v>263</v>
      </c>
      <c r="I626" s="25"/>
      <c r="J626" s="2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</row>
    <row r="627" spans="5:25">
      <c r="E627"/>
      <c r="G627" s="6"/>
      <c r="H627" s="19">
        <f t="shared" si="22"/>
        <v>264</v>
      </c>
      <c r="I627" s="25"/>
      <c r="J627" s="2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</row>
    <row r="628" spans="5:25">
      <c r="E628"/>
      <c r="G628" s="6"/>
      <c r="H628" s="19">
        <f t="shared" si="22"/>
        <v>265</v>
      </c>
      <c r="I628" s="25"/>
      <c r="J628" s="2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</row>
    <row r="629" spans="5:25">
      <c r="E629"/>
      <c r="G629" s="6"/>
      <c r="H629" s="19">
        <f t="shared" si="22"/>
        <v>266</v>
      </c>
      <c r="I629" s="25"/>
      <c r="J629" s="2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</row>
    <row r="630" spans="5:25">
      <c r="E630"/>
      <c r="G630" s="6"/>
      <c r="H630" s="19">
        <f t="shared" si="22"/>
        <v>267</v>
      </c>
      <c r="I630" s="25"/>
      <c r="J630" s="2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</row>
    <row r="631" spans="5:25">
      <c r="E631"/>
      <c r="G631" s="6"/>
      <c r="H631" s="19">
        <f t="shared" si="22"/>
        <v>268</v>
      </c>
      <c r="I631" s="25"/>
      <c r="J631" s="2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</row>
    <row r="632" spans="5:25">
      <c r="E632"/>
      <c r="G632" s="6"/>
      <c r="H632" s="19">
        <f t="shared" si="22"/>
        <v>269</v>
      </c>
      <c r="I632" s="25"/>
      <c r="J632" s="2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</row>
    <row r="633" spans="5:25">
      <c r="E633"/>
      <c r="G633" s="6"/>
      <c r="H633" s="19">
        <f t="shared" si="22"/>
        <v>270</v>
      </c>
      <c r="I633" s="25"/>
      <c r="J633" s="2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</row>
    <row r="634" spans="5:25">
      <c r="E634"/>
      <c r="G634" s="6"/>
      <c r="H634" s="19">
        <f t="shared" si="22"/>
        <v>271</v>
      </c>
      <c r="I634" s="25"/>
      <c r="J634" s="2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</row>
    <row r="635" spans="5:25">
      <c r="E635"/>
      <c r="G635" s="6"/>
      <c r="H635" s="19">
        <f t="shared" si="22"/>
        <v>272</v>
      </c>
      <c r="I635" s="25"/>
      <c r="J635" s="2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</row>
    <row r="636" spans="5:25">
      <c r="E636"/>
      <c r="G636" s="6"/>
      <c r="H636" s="19">
        <f t="shared" si="22"/>
        <v>273</v>
      </c>
      <c r="I636" s="25"/>
      <c r="J636" s="2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</row>
    <row r="637" spans="5:25">
      <c r="E637"/>
      <c r="G637" s="6"/>
      <c r="H637" s="19">
        <f t="shared" si="22"/>
        <v>274</v>
      </c>
      <c r="I637" s="25"/>
      <c r="J637" s="2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</row>
    <row r="638" spans="5:25">
      <c r="E638"/>
      <c r="G638" s="6"/>
      <c r="H638" s="19">
        <f t="shared" si="22"/>
        <v>275</v>
      </c>
      <c r="I638" s="25"/>
      <c r="J638" s="2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</row>
    <row r="639" spans="5:25">
      <c r="E639"/>
      <c r="G639" s="6"/>
      <c r="H639" s="19">
        <f t="shared" si="22"/>
        <v>276</v>
      </c>
      <c r="I639" s="25"/>
      <c r="J639" s="2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</row>
    <row r="640" spans="5:25">
      <c r="E640"/>
      <c r="G640" s="6"/>
      <c r="H640" s="19">
        <f t="shared" si="22"/>
        <v>277</v>
      </c>
      <c r="I640" s="25"/>
      <c r="J640" s="2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</row>
    <row r="641" spans="5:25">
      <c r="E641"/>
      <c r="G641" s="6"/>
      <c r="H641" s="19">
        <f t="shared" si="22"/>
        <v>278</v>
      </c>
      <c r="I641" s="25"/>
      <c r="J641" s="2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</row>
    <row r="642" spans="5:25">
      <c r="E642"/>
      <c r="G642" s="6"/>
      <c r="H642" s="19">
        <f t="shared" si="22"/>
        <v>279</v>
      </c>
      <c r="I642" s="25"/>
      <c r="J642" s="2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</row>
    <row r="643" spans="5:25">
      <c r="E643"/>
      <c r="G643" s="6"/>
      <c r="H643" s="19">
        <f t="shared" si="22"/>
        <v>280</v>
      </c>
      <c r="I643" s="25"/>
      <c r="J643" s="2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</row>
    <row r="644" spans="5:25">
      <c r="E644"/>
      <c r="G644" s="6"/>
      <c r="H644" s="19">
        <f t="shared" si="22"/>
        <v>281</v>
      </c>
      <c r="I644" s="25"/>
      <c r="J644" s="2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</row>
    <row r="645" spans="5:25">
      <c r="E645"/>
      <c r="G645" s="6"/>
      <c r="H645" s="19">
        <f t="shared" ref="H645:H708" si="23">H644+1</f>
        <v>282</v>
      </c>
      <c r="I645" s="25"/>
      <c r="J645" s="2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</row>
    <row r="646" spans="5:25">
      <c r="E646"/>
      <c r="G646" s="6"/>
      <c r="H646" s="19">
        <f t="shared" si="23"/>
        <v>283</v>
      </c>
      <c r="I646" s="25"/>
      <c r="J646" s="2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</row>
    <row r="647" spans="5:25">
      <c r="E647"/>
      <c r="G647" s="6"/>
      <c r="H647" s="19">
        <f t="shared" si="23"/>
        <v>284</v>
      </c>
      <c r="I647" s="25"/>
      <c r="J647" s="2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</row>
    <row r="648" spans="5:25">
      <c r="E648"/>
      <c r="G648" s="6"/>
      <c r="H648" s="19">
        <f t="shared" si="23"/>
        <v>285</v>
      </c>
      <c r="I648" s="25"/>
      <c r="J648" s="2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</row>
    <row r="649" spans="5:25">
      <c r="E649"/>
      <c r="G649" s="6"/>
      <c r="H649" s="19">
        <f t="shared" si="23"/>
        <v>286</v>
      </c>
      <c r="I649" s="25"/>
      <c r="J649" s="2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</row>
    <row r="650" spans="5:25">
      <c r="E650"/>
      <c r="G650" s="6"/>
      <c r="H650" s="19">
        <f t="shared" si="23"/>
        <v>287</v>
      </c>
      <c r="I650" s="25"/>
      <c r="J650" s="2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</row>
    <row r="651" spans="5:25">
      <c r="E651"/>
      <c r="G651" s="6"/>
      <c r="H651" s="19">
        <f t="shared" si="23"/>
        <v>288</v>
      </c>
      <c r="I651" s="25"/>
      <c r="J651" s="2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</row>
    <row r="652" spans="5:25">
      <c r="E652"/>
      <c r="G652" s="6"/>
      <c r="H652" s="19">
        <f t="shared" si="23"/>
        <v>289</v>
      </c>
      <c r="I652" s="25"/>
      <c r="J652" s="2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</row>
    <row r="653" spans="5:25">
      <c r="E653"/>
      <c r="G653" s="6"/>
      <c r="H653" s="19">
        <f t="shared" si="23"/>
        <v>290</v>
      </c>
      <c r="I653" s="25"/>
      <c r="J653" s="2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</row>
    <row r="654" spans="5:25">
      <c r="E654"/>
      <c r="G654" s="6"/>
      <c r="H654" s="19">
        <f t="shared" si="23"/>
        <v>291</v>
      </c>
      <c r="I654" s="25"/>
      <c r="J654" s="2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</row>
    <row r="655" spans="5:25">
      <c r="E655"/>
      <c r="G655" s="6"/>
      <c r="H655" s="19">
        <f t="shared" si="23"/>
        <v>292</v>
      </c>
      <c r="I655" s="25"/>
      <c r="J655" s="2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</row>
    <row r="656" spans="5:25">
      <c r="E656"/>
      <c r="G656" s="6"/>
      <c r="H656" s="19">
        <f t="shared" si="23"/>
        <v>293</v>
      </c>
      <c r="I656" s="25"/>
      <c r="J656" s="2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</row>
    <row r="657" spans="5:25">
      <c r="E657"/>
      <c r="G657" s="6"/>
      <c r="H657" s="19">
        <f t="shared" si="23"/>
        <v>294</v>
      </c>
      <c r="I657" s="25"/>
      <c r="J657" s="2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</row>
    <row r="658" spans="5:25">
      <c r="E658"/>
      <c r="G658" s="6"/>
      <c r="H658" s="19">
        <f t="shared" si="23"/>
        <v>295</v>
      </c>
      <c r="I658" s="25"/>
      <c r="J658" s="2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</row>
    <row r="659" spans="5:25">
      <c r="E659"/>
      <c r="G659" s="6"/>
      <c r="H659" s="19">
        <f t="shared" si="23"/>
        <v>296</v>
      </c>
      <c r="I659" s="25"/>
      <c r="J659" s="2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</row>
    <row r="660" spans="5:25">
      <c r="E660"/>
      <c r="G660" s="6"/>
      <c r="H660" s="19">
        <f t="shared" si="23"/>
        <v>297</v>
      </c>
      <c r="I660" s="25"/>
      <c r="J660" s="2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</row>
    <row r="661" spans="5:25">
      <c r="E661"/>
      <c r="G661" s="6"/>
      <c r="H661" s="19">
        <f t="shared" si="23"/>
        <v>298</v>
      </c>
      <c r="I661" s="25"/>
      <c r="J661" s="2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</row>
    <row r="662" spans="5:25">
      <c r="E662"/>
      <c r="G662" s="6"/>
      <c r="H662" s="19">
        <f t="shared" si="23"/>
        <v>299</v>
      </c>
      <c r="I662" s="25"/>
      <c r="J662" s="2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</row>
    <row r="663" spans="5:25">
      <c r="E663"/>
      <c r="G663" s="6"/>
      <c r="H663" s="19">
        <f t="shared" si="23"/>
        <v>300</v>
      </c>
      <c r="I663" s="25"/>
      <c r="J663" s="2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</row>
    <row r="664" spans="5:25">
      <c r="E664"/>
      <c r="G664" s="6"/>
      <c r="H664" s="19">
        <f t="shared" si="23"/>
        <v>301</v>
      </c>
      <c r="I664" s="25"/>
      <c r="J664" s="2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</row>
    <row r="665" spans="5:25">
      <c r="E665"/>
      <c r="G665" s="6"/>
      <c r="H665" s="19">
        <f t="shared" si="23"/>
        <v>302</v>
      </c>
      <c r="I665" s="25"/>
      <c r="J665" s="2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</row>
    <row r="666" spans="5:25">
      <c r="E666"/>
      <c r="G666" s="6"/>
      <c r="H666" s="19">
        <f t="shared" si="23"/>
        <v>303</v>
      </c>
      <c r="I666" s="25"/>
      <c r="J666" s="2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</row>
    <row r="667" spans="5:25">
      <c r="E667"/>
      <c r="G667" s="6"/>
      <c r="H667" s="19">
        <f t="shared" si="23"/>
        <v>304</v>
      </c>
      <c r="I667" s="25"/>
      <c r="J667" s="2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</row>
    <row r="668" spans="5:25">
      <c r="E668"/>
      <c r="G668" s="6"/>
      <c r="H668" s="19">
        <f t="shared" si="23"/>
        <v>305</v>
      </c>
      <c r="I668" s="25"/>
      <c r="J668" s="2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</row>
    <row r="669" spans="5:25">
      <c r="E669"/>
      <c r="G669" s="6"/>
      <c r="H669" s="19">
        <f t="shared" si="23"/>
        <v>306</v>
      </c>
      <c r="I669" s="25"/>
      <c r="J669" s="2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</row>
    <row r="670" spans="5:25">
      <c r="E670"/>
      <c r="G670" s="6"/>
      <c r="H670" s="19">
        <f t="shared" si="23"/>
        <v>307</v>
      </c>
      <c r="I670" s="25"/>
      <c r="J670" s="2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</row>
    <row r="671" spans="5:25">
      <c r="E671"/>
      <c r="G671" s="6"/>
      <c r="H671" s="19">
        <f t="shared" si="23"/>
        <v>308</v>
      </c>
      <c r="I671" s="25"/>
      <c r="J671" s="2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</row>
    <row r="672" spans="5:25">
      <c r="E672"/>
      <c r="G672" s="6"/>
      <c r="H672" s="19">
        <f t="shared" si="23"/>
        <v>309</v>
      </c>
      <c r="I672" s="25"/>
      <c r="J672" s="2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</row>
    <row r="673" spans="5:25">
      <c r="E673"/>
      <c r="G673" s="6"/>
      <c r="H673" s="19">
        <f t="shared" si="23"/>
        <v>310</v>
      </c>
      <c r="I673" s="25"/>
      <c r="J673" s="2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</row>
    <row r="674" spans="5:25">
      <c r="E674"/>
      <c r="G674" s="6"/>
      <c r="H674" s="19">
        <f t="shared" si="23"/>
        <v>311</v>
      </c>
      <c r="I674" s="25"/>
      <c r="J674" s="2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</row>
    <row r="675" spans="5:25">
      <c r="E675"/>
      <c r="G675" s="6"/>
      <c r="H675" s="19">
        <f t="shared" si="23"/>
        <v>312</v>
      </c>
      <c r="I675" s="25"/>
      <c r="J675" s="2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</row>
    <row r="676" spans="5:25">
      <c r="E676"/>
      <c r="G676" s="6"/>
      <c r="H676" s="19">
        <f t="shared" si="23"/>
        <v>313</v>
      </c>
      <c r="I676" s="25"/>
      <c r="J676" s="2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</row>
    <row r="677" spans="5:25">
      <c r="E677"/>
      <c r="G677" s="6"/>
      <c r="H677" s="19">
        <f t="shared" si="23"/>
        <v>314</v>
      </c>
      <c r="I677" s="25"/>
      <c r="J677" s="2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</row>
    <row r="678" spans="5:25">
      <c r="E678"/>
      <c r="G678" s="6"/>
      <c r="H678" s="19">
        <f t="shared" si="23"/>
        <v>315</v>
      </c>
      <c r="I678" s="25"/>
      <c r="J678" s="2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</row>
    <row r="679" spans="5:25">
      <c r="E679"/>
      <c r="G679" s="6"/>
      <c r="H679" s="19">
        <f t="shared" si="23"/>
        <v>316</v>
      </c>
      <c r="I679" s="25"/>
      <c r="J679" s="2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</row>
    <row r="680" spans="5:25">
      <c r="E680"/>
      <c r="G680" s="6"/>
      <c r="H680" s="19">
        <f t="shared" si="23"/>
        <v>317</v>
      </c>
      <c r="I680" s="25"/>
      <c r="J680" s="2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</row>
    <row r="681" spans="5:25">
      <c r="E681"/>
      <c r="G681" s="6"/>
      <c r="H681" s="19">
        <f t="shared" si="23"/>
        <v>318</v>
      </c>
      <c r="I681" s="25"/>
      <c r="J681" s="2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</row>
    <row r="682" spans="5:25">
      <c r="E682"/>
      <c r="G682" s="6"/>
      <c r="H682" s="19">
        <f t="shared" si="23"/>
        <v>319</v>
      </c>
      <c r="I682" s="25"/>
      <c r="J682" s="2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</row>
    <row r="683" spans="5:25">
      <c r="E683"/>
      <c r="G683" s="6"/>
      <c r="H683" s="19">
        <f t="shared" si="23"/>
        <v>320</v>
      </c>
      <c r="I683" s="25"/>
      <c r="J683" s="2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</row>
    <row r="684" spans="5:25">
      <c r="E684"/>
      <c r="G684" s="6"/>
      <c r="H684" s="19">
        <f t="shared" si="23"/>
        <v>321</v>
      </c>
      <c r="I684" s="25"/>
      <c r="J684" s="2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</row>
    <row r="685" spans="5:25">
      <c r="E685"/>
      <c r="G685" s="6"/>
      <c r="H685" s="19">
        <f t="shared" si="23"/>
        <v>322</v>
      </c>
      <c r="I685" s="25"/>
      <c r="J685" s="2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</row>
    <row r="686" spans="5:25">
      <c r="E686"/>
      <c r="G686" s="6"/>
      <c r="H686" s="19">
        <f t="shared" si="23"/>
        <v>323</v>
      </c>
      <c r="I686" s="25"/>
      <c r="J686" s="2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</row>
    <row r="687" spans="5:25">
      <c r="E687"/>
      <c r="G687" s="6"/>
      <c r="H687" s="19">
        <f t="shared" si="23"/>
        <v>324</v>
      </c>
      <c r="I687" s="25"/>
      <c r="J687" s="2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</row>
    <row r="688" spans="5:25">
      <c r="E688"/>
      <c r="G688" s="6"/>
      <c r="H688" s="19">
        <f t="shared" si="23"/>
        <v>325</v>
      </c>
      <c r="I688" s="25"/>
      <c r="J688" s="2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</row>
    <row r="689" spans="5:25">
      <c r="E689"/>
      <c r="G689" s="6"/>
      <c r="H689" s="19">
        <f t="shared" si="23"/>
        <v>326</v>
      </c>
      <c r="I689" s="25"/>
      <c r="J689" s="2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</row>
    <row r="690" spans="5:25">
      <c r="E690"/>
      <c r="G690" s="6"/>
      <c r="H690" s="19">
        <f t="shared" si="23"/>
        <v>327</v>
      </c>
      <c r="I690" s="25"/>
      <c r="J690" s="2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</row>
    <row r="691" spans="5:25">
      <c r="E691"/>
      <c r="G691" s="6"/>
      <c r="H691" s="19">
        <f t="shared" si="23"/>
        <v>328</v>
      </c>
      <c r="I691" s="25"/>
      <c r="J691" s="2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</row>
    <row r="692" spans="5:25">
      <c r="E692"/>
      <c r="G692" s="6"/>
      <c r="H692" s="19">
        <f t="shared" si="23"/>
        <v>329</v>
      </c>
      <c r="I692" s="25"/>
      <c r="J692" s="2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</row>
    <row r="693" spans="5:25">
      <c r="E693"/>
      <c r="G693" s="6"/>
      <c r="H693" s="19">
        <f t="shared" si="23"/>
        <v>330</v>
      </c>
      <c r="I693" s="25"/>
      <c r="J693" s="2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</row>
    <row r="694" spans="5:25">
      <c r="E694"/>
      <c r="G694" s="6"/>
      <c r="H694" s="19">
        <f t="shared" si="23"/>
        <v>331</v>
      </c>
      <c r="I694" s="25"/>
      <c r="J694" s="2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</row>
    <row r="695" spans="5:25">
      <c r="E695"/>
      <c r="G695" s="6"/>
      <c r="H695" s="19">
        <f t="shared" si="23"/>
        <v>332</v>
      </c>
      <c r="I695" s="25"/>
      <c r="J695" s="2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</row>
    <row r="696" spans="5:25">
      <c r="E696"/>
      <c r="G696" s="6"/>
      <c r="H696" s="19">
        <f t="shared" si="23"/>
        <v>333</v>
      </c>
      <c r="I696" s="25"/>
      <c r="J696" s="2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</row>
    <row r="697" spans="5:25">
      <c r="E697"/>
      <c r="G697" s="6"/>
      <c r="H697" s="19">
        <f t="shared" si="23"/>
        <v>334</v>
      </c>
      <c r="I697" s="25"/>
      <c r="J697" s="2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</row>
    <row r="698" spans="5:25">
      <c r="E698"/>
      <c r="G698" s="6"/>
      <c r="H698" s="19">
        <f t="shared" si="23"/>
        <v>335</v>
      </c>
      <c r="I698" s="25"/>
      <c r="J698" s="2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</row>
    <row r="699" spans="5:25">
      <c r="E699"/>
      <c r="G699" s="6"/>
      <c r="H699" s="19">
        <f t="shared" si="23"/>
        <v>336</v>
      </c>
      <c r="I699" s="25"/>
      <c r="J699" s="2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</row>
    <row r="700" spans="5:25">
      <c r="E700"/>
      <c r="G700" s="6"/>
      <c r="H700" s="19">
        <f t="shared" si="23"/>
        <v>337</v>
      </c>
      <c r="I700" s="25"/>
      <c r="J700" s="2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</row>
    <row r="701" spans="5:25">
      <c r="E701"/>
      <c r="G701" s="6"/>
      <c r="H701" s="19">
        <f t="shared" si="23"/>
        <v>338</v>
      </c>
      <c r="I701" s="25"/>
      <c r="J701" s="2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</row>
    <row r="702" spans="5:25">
      <c r="E702"/>
      <c r="G702" s="6"/>
      <c r="H702" s="19">
        <f t="shared" si="23"/>
        <v>339</v>
      </c>
      <c r="I702" s="25"/>
      <c r="J702" s="2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</row>
    <row r="703" spans="5:25">
      <c r="E703"/>
      <c r="G703" s="6"/>
      <c r="H703" s="19">
        <f t="shared" si="23"/>
        <v>340</v>
      </c>
      <c r="I703" s="25"/>
      <c r="J703" s="2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</row>
    <row r="704" spans="5:25">
      <c r="E704"/>
      <c r="G704" s="6"/>
      <c r="H704" s="19">
        <f t="shared" si="23"/>
        <v>341</v>
      </c>
      <c r="I704" s="25"/>
      <c r="J704" s="2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</row>
    <row r="705" spans="5:25">
      <c r="E705"/>
      <c r="G705" s="6"/>
      <c r="H705" s="19">
        <f t="shared" si="23"/>
        <v>342</v>
      </c>
      <c r="I705" s="25"/>
      <c r="J705" s="2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</row>
    <row r="706" spans="5:25">
      <c r="E706"/>
      <c r="G706" s="6"/>
      <c r="H706" s="19">
        <f t="shared" si="23"/>
        <v>343</v>
      </c>
      <c r="I706" s="25"/>
      <c r="J706" s="2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</row>
    <row r="707" spans="5:25">
      <c r="E707"/>
      <c r="G707" s="6"/>
      <c r="H707" s="19">
        <f t="shared" si="23"/>
        <v>344</v>
      </c>
      <c r="I707" s="25"/>
      <c r="J707" s="2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</row>
    <row r="708" spans="5:25">
      <c r="E708"/>
      <c r="G708" s="6"/>
      <c r="H708" s="19">
        <f t="shared" si="23"/>
        <v>345</v>
      </c>
      <c r="I708" s="25"/>
      <c r="J708" s="2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</row>
    <row r="709" spans="5:25">
      <c r="E709"/>
      <c r="G709" s="6"/>
      <c r="H709" s="19">
        <f t="shared" ref="H709:H722" si="24">H708+1</f>
        <v>346</v>
      </c>
      <c r="I709" s="25"/>
      <c r="J709" s="2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</row>
    <row r="710" spans="5:25">
      <c r="E710"/>
      <c r="G710" s="6"/>
      <c r="H710" s="19">
        <f t="shared" si="24"/>
        <v>347</v>
      </c>
      <c r="I710" s="25"/>
      <c r="J710" s="2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</row>
    <row r="711" spans="5:25">
      <c r="E711"/>
      <c r="G711" s="6"/>
      <c r="H711" s="19">
        <f t="shared" si="24"/>
        <v>348</v>
      </c>
      <c r="I711" s="25"/>
      <c r="J711" s="2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</row>
    <row r="712" spans="5:25">
      <c r="E712"/>
      <c r="G712" s="6"/>
      <c r="H712" s="19">
        <f t="shared" si="24"/>
        <v>349</v>
      </c>
      <c r="I712" s="25"/>
      <c r="J712" s="2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</row>
    <row r="713" spans="5:25">
      <c r="E713"/>
      <c r="G713" s="6"/>
      <c r="H713" s="19">
        <f t="shared" si="24"/>
        <v>350</v>
      </c>
      <c r="I713" s="25"/>
      <c r="J713" s="2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</row>
    <row r="714" spans="5:25">
      <c r="E714"/>
      <c r="G714" s="6"/>
      <c r="H714" s="19">
        <f t="shared" si="24"/>
        <v>351</v>
      </c>
      <c r="I714" s="25"/>
      <c r="J714" s="2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</row>
    <row r="715" spans="5:25">
      <c r="E715"/>
      <c r="G715" s="6"/>
      <c r="H715" s="19">
        <f t="shared" si="24"/>
        <v>352</v>
      </c>
      <c r="I715" s="25"/>
      <c r="J715" s="2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</row>
    <row r="716" spans="5:25">
      <c r="E716"/>
      <c r="G716" s="6"/>
      <c r="H716" s="19">
        <f t="shared" si="24"/>
        <v>353</v>
      </c>
      <c r="I716" s="25"/>
      <c r="J716" s="2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</row>
    <row r="717" spans="5:25">
      <c r="E717"/>
      <c r="G717" s="6"/>
      <c r="H717" s="19">
        <f t="shared" si="24"/>
        <v>354</v>
      </c>
      <c r="I717" s="25"/>
      <c r="J717" s="2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</row>
    <row r="718" spans="5:25">
      <c r="E718"/>
      <c r="G718" s="6"/>
      <c r="H718" s="19">
        <f t="shared" si="24"/>
        <v>355</v>
      </c>
      <c r="I718" s="25"/>
      <c r="J718" s="2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</row>
    <row r="719" spans="5:25">
      <c r="E719"/>
      <c r="G719" s="6"/>
      <c r="H719" s="19">
        <f t="shared" si="24"/>
        <v>356</v>
      </c>
      <c r="I719" s="25"/>
      <c r="J719" s="2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</row>
    <row r="720" spans="5:25">
      <c r="E720"/>
      <c r="G720" s="6"/>
      <c r="H720" s="19">
        <f t="shared" si="24"/>
        <v>357</v>
      </c>
      <c r="I720" s="25"/>
      <c r="J720" s="2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</row>
    <row r="721" spans="5:25">
      <c r="E721"/>
      <c r="G721" s="6"/>
      <c r="H721" s="19">
        <f t="shared" si="24"/>
        <v>358</v>
      </c>
      <c r="I721" s="25"/>
      <c r="J721" s="2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</row>
    <row r="722" spans="5:25">
      <c r="E722"/>
      <c r="G722" s="6"/>
      <c r="H722" s="20">
        <f t="shared" si="24"/>
        <v>359</v>
      </c>
      <c r="I722" s="26"/>
      <c r="J722" s="23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</row>
    <row r="723" spans="5:25">
      <c r="T723" s="2"/>
      <c r="U723" s="2"/>
      <c r="V723" s="2"/>
      <c r="W723" s="2"/>
      <c r="X723" s="2"/>
      <c r="Y723" s="2"/>
    </row>
    <row r="724" spans="5:25">
      <c r="T724" s="2"/>
      <c r="U724" s="2"/>
      <c r="V724" s="2"/>
      <c r="W724" s="2"/>
      <c r="X724" s="2"/>
      <c r="Y724" s="2"/>
    </row>
    <row r="725" spans="5:25">
      <c r="T725" s="2"/>
      <c r="U725" s="2"/>
      <c r="V725" s="2"/>
      <c r="W725" s="2"/>
      <c r="X725" s="2"/>
      <c r="Y725" s="2"/>
    </row>
    <row r="726" spans="5:25">
      <c r="T726" s="2"/>
      <c r="U726" s="2"/>
      <c r="V726" s="2"/>
      <c r="W726" s="2"/>
      <c r="X726" s="2"/>
      <c r="Y726" s="2"/>
    </row>
    <row r="727" spans="5:25">
      <c r="T727" s="2"/>
      <c r="U727" s="2"/>
      <c r="V727" s="2"/>
      <c r="W727" s="2"/>
      <c r="X727" s="2"/>
      <c r="Y727" s="2"/>
    </row>
    <row r="728" spans="5:25">
      <c r="T728" s="2"/>
      <c r="U728" s="2"/>
      <c r="V728" s="2"/>
      <c r="W728" s="2"/>
      <c r="X728" s="2"/>
      <c r="Y728" s="2"/>
    </row>
    <row r="729" spans="5:25">
      <c r="T729" s="2"/>
      <c r="U729" s="2"/>
      <c r="V729" s="2"/>
      <c r="W729" s="2"/>
      <c r="X729" s="2"/>
      <c r="Y729" s="2"/>
    </row>
    <row r="730" spans="5:25">
      <c r="T730" s="2"/>
      <c r="U730" s="2"/>
      <c r="V730" s="2"/>
      <c r="W730" s="2"/>
      <c r="X730" s="2"/>
      <c r="Y730" s="2"/>
    </row>
    <row r="731" spans="5:25">
      <c r="T731" s="2"/>
      <c r="U731" s="2"/>
      <c r="V731" s="2"/>
      <c r="W731" s="2"/>
      <c r="X731" s="2"/>
      <c r="Y731" s="2"/>
    </row>
    <row r="732" spans="5:25">
      <c r="T732" s="2"/>
      <c r="U732" s="2"/>
      <c r="V732" s="2"/>
      <c r="W732" s="2"/>
      <c r="X732" s="2"/>
      <c r="Y732" s="2"/>
    </row>
    <row r="733" spans="5:25">
      <c r="T733" s="2"/>
      <c r="U733" s="2"/>
      <c r="V733" s="2"/>
      <c r="W733" s="2"/>
      <c r="X733" s="2"/>
      <c r="Y733" s="2"/>
    </row>
    <row r="734" spans="5:25">
      <c r="T734" s="2"/>
      <c r="U734" s="2"/>
      <c r="V734" s="2"/>
      <c r="W734" s="2"/>
      <c r="X734" s="2"/>
      <c r="Y734" s="2"/>
    </row>
    <row r="735" spans="5:25">
      <c r="T735" s="2"/>
      <c r="U735" s="2"/>
      <c r="V735" s="2"/>
      <c r="W735" s="2"/>
      <c r="X735" s="2"/>
      <c r="Y735" s="2"/>
    </row>
    <row r="736" spans="5:25">
      <c r="T736" s="2"/>
      <c r="U736" s="2"/>
      <c r="V736" s="2"/>
      <c r="W736" s="2"/>
      <c r="X736" s="2"/>
      <c r="Y736" s="2"/>
    </row>
    <row r="737" spans="20:25">
      <c r="T737" s="2"/>
      <c r="U737" s="2"/>
      <c r="V737" s="2"/>
      <c r="W737" s="2"/>
      <c r="X737" s="2"/>
      <c r="Y737" s="2"/>
    </row>
    <row r="738" spans="20:25">
      <c r="T738" s="2"/>
      <c r="U738" s="2"/>
      <c r="V738" s="2"/>
      <c r="W738" s="2"/>
      <c r="X738" s="2"/>
      <c r="Y738" s="2"/>
    </row>
    <row r="739" spans="20:25">
      <c r="T739" s="2"/>
      <c r="U739" s="2"/>
      <c r="V739" s="2"/>
      <c r="W739" s="2"/>
      <c r="X739" s="2"/>
      <c r="Y739" s="2"/>
    </row>
    <row r="740" spans="20:25">
      <c r="T740" s="2"/>
      <c r="U740" s="2"/>
      <c r="V740" s="2"/>
      <c r="W740" s="2"/>
      <c r="X740" s="2"/>
      <c r="Y740" s="2"/>
    </row>
    <row r="741" spans="20:25">
      <c r="T741" s="2"/>
      <c r="U741" s="2"/>
      <c r="V741" s="2"/>
      <c r="W741" s="2"/>
      <c r="X741" s="2"/>
      <c r="Y741" s="2"/>
    </row>
    <row r="742" spans="20:25">
      <c r="T742" s="2"/>
      <c r="U742" s="2"/>
      <c r="V742" s="2"/>
      <c r="W742" s="2"/>
      <c r="X742" s="2"/>
      <c r="Y742" s="2"/>
    </row>
    <row r="743" spans="20:25">
      <c r="T743" s="2"/>
      <c r="U743" s="2"/>
      <c r="V743" s="2"/>
      <c r="W743" s="2"/>
      <c r="X743" s="2"/>
      <c r="Y743" s="2"/>
    </row>
  </sheetData>
  <mergeCells count="23">
    <mergeCell ref="L134:O134"/>
    <mergeCell ref="L127:O127"/>
    <mergeCell ref="L128:O128"/>
    <mergeCell ref="L129:O129"/>
    <mergeCell ref="L130:O130"/>
    <mergeCell ref="L131:O131"/>
    <mergeCell ref="L132:O132"/>
    <mergeCell ref="L123:O123"/>
    <mergeCell ref="L124:O124"/>
    <mergeCell ref="L125:O125"/>
    <mergeCell ref="L126:O126"/>
    <mergeCell ref="L133:O133"/>
    <mergeCell ref="L112:O112"/>
    <mergeCell ref="L113:O113"/>
    <mergeCell ref="L114:O114"/>
    <mergeCell ref="L115:O115"/>
    <mergeCell ref="L116:O116"/>
    <mergeCell ref="M108:R109"/>
    <mergeCell ref="O68:P68"/>
    <mergeCell ref="P8:Q8"/>
    <mergeCell ref="L110:O110"/>
    <mergeCell ref="L111:O111"/>
    <mergeCell ref="L12:M12"/>
  </mergeCells>
  <pageMargins left="0.7" right="0.7" top="0.75" bottom="0.75" header="0.3" footer="0.3"/>
  <pageSetup paperSize="9" orientation="portrait" verticalDpi="0" r:id="rId1"/>
  <drawing r:id="rId2"/>
  <legacyDrawing r:id="rId3"/>
  <controls>
    <control shapeId="2052" r:id="rId4" name="CommandButton4"/>
    <control shapeId="2051" r:id="rId5" name="CommandButton3"/>
    <control shapeId="2050" r:id="rId6" name="CommandButton2"/>
    <control shapeId="2049" r:id="rId7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D14A58-984B-4479-AEFD-2F20F5127B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56</vt:i4>
      </vt:variant>
    </vt:vector>
  </HeadingPairs>
  <TitlesOfParts>
    <vt:vector size="57" baseType="lpstr">
      <vt:lpstr>Data</vt:lpstr>
      <vt:lpstr>Data!DatiEsterni_13</vt:lpstr>
      <vt:lpstr>Data!DatiEsterni_14</vt:lpstr>
      <vt:lpstr>Data!DatiEsterni_15</vt:lpstr>
      <vt:lpstr>Data!DatiEsterni_16</vt:lpstr>
      <vt:lpstr>Data!DatiEsterni_17</vt:lpstr>
      <vt:lpstr>Data!DatiEsterni_18</vt:lpstr>
      <vt:lpstr>Data!DatiEsterni_19</vt:lpstr>
      <vt:lpstr>Data!DatiEsterni_20</vt:lpstr>
      <vt:lpstr>Data!DatiEsterni_21</vt:lpstr>
      <vt:lpstr>Data!DatiEsterni_22</vt:lpstr>
      <vt:lpstr>Data!DatiEsterni_23</vt:lpstr>
      <vt:lpstr>Data!DatiEsterni_25</vt:lpstr>
      <vt:lpstr>Data!DatiEsterni_26</vt:lpstr>
      <vt:lpstr>Data!DatiEsterni_27</vt:lpstr>
      <vt:lpstr>Data!DatiEsterni_28</vt:lpstr>
      <vt:lpstr>Data!DatiEsterni_29</vt:lpstr>
      <vt:lpstr>Data!DatiEsterni_30</vt:lpstr>
      <vt:lpstr>Data!DatiEsterni_31</vt:lpstr>
      <vt:lpstr>Data!DatiEsterni_32</vt:lpstr>
      <vt:lpstr>Data!DatiEsterni_33</vt:lpstr>
      <vt:lpstr>Data!DatiEsterni_34</vt:lpstr>
      <vt:lpstr>Data!DatiEsterni_35</vt:lpstr>
      <vt:lpstr>Data!DatiEsterni_36</vt:lpstr>
      <vt:lpstr>Data!DatiEsterni_37</vt:lpstr>
      <vt:lpstr>Data!DatiEsterni_38</vt:lpstr>
      <vt:lpstr>Data!DatiEsterni_39</vt:lpstr>
      <vt:lpstr>Data!DatiEsterni_40</vt:lpstr>
      <vt:lpstr>Data!DatiEsterni_41</vt:lpstr>
      <vt:lpstr>Data!DatiEsterni_42</vt:lpstr>
      <vt:lpstr>Data!DatiEsterni_43</vt:lpstr>
      <vt:lpstr>Data!DatiEsterni_44</vt:lpstr>
      <vt:lpstr>Data!DatiEsterni_45</vt:lpstr>
      <vt:lpstr>Data!DatiEsterni_46</vt:lpstr>
      <vt:lpstr>Data!DatiEsterni_47</vt:lpstr>
      <vt:lpstr>Data!DatiEsterni_48</vt:lpstr>
      <vt:lpstr>Data!DatiEsterni_49</vt:lpstr>
      <vt:lpstr>Data!DatiEsterni_50</vt:lpstr>
      <vt:lpstr>Data!DatiEsterni_51</vt:lpstr>
      <vt:lpstr>Data!DatiEsterni_52</vt:lpstr>
      <vt:lpstr>Data!DatiEsterni_53</vt:lpstr>
      <vt:lpstr>Data!DatiEsterni_54</vt:lpstr>
      <vt:lpstr>Data!DatiEsterni_55</vt:lpstr>
      <vt:lpstr>Data!DatiEsterni_56</vt:lpstr>
      <vt:lpstr>Data!DatiEsterni_57</vt:lpstr>
      <vt:lpstr>Data!DatiEsterni_58</vt:lpstr>
      <vt:lpstr>Data!DatiEsterni_59</vt:lpstr>
      <vt:lpstr>Data!DatiEsterni_60</vt:lpstr>
      <vt:lpstr>Data!DatiEsterni_61</vt:lpstr>
      <vt:lpstr>Data!DatiEsterni_62</vt:lpstr>
      <vt:lpstr>Data!DatiEsterni_63</vt:lpstr>
      <vt:lpstr>Data!DatiEsterni_64</vt:lpstr>
      <vt:lpstr>Data!DatiEsterni_65</vt:lpstr>
      <vt:lpstr>Data!DatiEsterni_66</vt:lpstr>
      <vt:lpstr>Data!DatiEsterni_67</vt:lpstr>
      <vt:lpstr>Data!DatiEsterni_68</vt:lpstr>
      <vt:lpstr>Data!DatiEsterni_69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Raffaele Busa</dc:creator>
  <cp:lastModifiedBy>roberto</cp:lastModifiedBy>
  <dcterms:created xsi:type="dcterms:W3CDTF">2020-01-27T14:17:51Z</dcterms:created>
  <dcterms:modified xsi:type="dcterms:W3CDTF">2020-06-23T15:16:33Z</dcterms:modified>
</cp:coreProperties>
</file>